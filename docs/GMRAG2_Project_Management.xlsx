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Project\gm_rag_2.0\docs\"/>
    </mc:Choice>
  </mc:AlternateContent>
  <xr:revisionPtr revIDLastSave="0" documentId="13_ncr:1_{37E837ED-0532-4287-8378-B8607FA016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ổng quan" sheetId="1" r:id="rId1"/>
    <sheet name="Kế hoạch Task" sheetId="2" r:id="rId2"/>
    <sheet name="Timeline 2 tuần" sheetId="3" r:id="rId3"/>
    <sheet name="Rủi ro &amp; Quyết định" sheetId="4" r:id="rId4"/>
    <sheet name="RACI" sheetId="5" r:id="rId5"/>
    <sheet name="ResourceBAC" sheetId="6" r:id="rId6"/>
    <sheet name="Thiết lập" sheetId="7" r:id="rId7"/>
  </sheets>
  <calcPr calcId="191029"/>
</workbook>
</file>

<file path=xl/calcChain.xml><?xml version="1.0" encoding="utf-8"?>
<calcChain xmlns="http://schemas.openxmlformats.org/spreadsheetml/2006/main">
  <c r="E24" i="4" l="1"/>
  <c r="E23" i="4"/>
  <c r="E22" i="4"/>
  <c r="E21" i="4"/>
  <c r="E20" i="4"/>
  <c r="E19" i="4"/>
  <c r="E18" i="4"/>
  <c r="E17" i="4"/>
  <c r="E16" i="4"/>
  <c r="G14" i="3"/>
  <c r="F14" i="3"/>
  <c r="E14" i="3"/>
  <c r="D14" i="3"/>
  <c r="H14" i="3" s="1"/>
  <c r="G13" i="3"/>
  <c r="F13" i="3"/>
  <c r="E13" i="3"/>
  <c r="H13" i="1" s="1"/>
  <c r="D13" i="3"/>
  <c r="G13" i="1" s="1"/>
  <c r="G12" i="3"/>
  <c r="F12" i="3"/>
  <c r="E12" i="3"/>
  <c r="D12" i="3"/>
  <c r="H12" i="3" s="1"/>
  <c r="G11" i="3"/>
  <c r="F11" i="3"/>
  <c r="E11" i="3"/>
  <c r="D11" i="3"/>
  <c r="H11" i="3" s="1"/>
  <c r="G10" i="3"/>
  <c r="F10" i="3"/>
  <c r="E10" i="3"/>
  <c r="D10" i="3"/>
  <c r="H10" i="3" s="1"/>
  <c r="H9" i="3"/>
  <c r="G9" i="3"/>
  <c r="F9" i="3"/>
  <c r="E9" i="3"/>
  <c r="D9" i="3"/>
  <c r="G8" i="3"/>
  <c r="F8" i="3"/>
  <c r="E8" i="3"/>
  <c r="H8" i="1" s="1"/>
  <c r="D8" i="3"/>
  <c r="H8" i="3" s="1"/>
  <c r="G7" i="3"/>
  <c r="F7" i="3"/>
  <c r="E7" i="3"/>
  <c r="D7" i="3"/>
  <c r="G7" i="1" s="1"/>
  <c r="H6" i="3"/>
  <c r="G6" i="3"/>
  <c r="F6" i="3"/>
  <c r="E6" i="3"/>
  <c r="D6" i="3"/>
  <c r="G5" i="3"/>
  <c r="F5" i="3"/>
  <c r="E5" i="3"/>
  <c r="D5" i="3"/>
  <c r="H5" i="3" s="1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H14" i="1"/>
  <c r="G14" i="1"/>
  <c r="F14" i="1"/>
  <c r="F13" i="1"/>
  <c r="H12" i="1"/>
  <c r="G12" i="1"/>
  <c r="F12" i="1"/>
  <c r="H11" i="1"/>
  <c r="G11" i="1"/>
  <c r="F11" i="1"/>
  <c r="H10" i="1"/>
  <c r="F10" i="1"/>
  <c r="H9" i="1"/>
  <c r="G9" i="1"/>
  <c r="F9" i="1"/>
  <c r="B9" i="1"/>
  <c r="G8" i="1"/>
  <c r="F8" i="1"/>
  <c r="B8" i="1"/>
  <c r="H7" i="1"/>
  <c r="F7" i="1"/>
  <c r="B7" i="1"/>
  <c r="H6" i="1"/>
  <c r="G6" i="1"/>
  <c r="F6" i="1"/>
  <c r="B6" i="1"/>
  <c r="H5" i="1"/>
  <c r="F5" i="1"/>
  <c r="B5" i="1"/>
  <c r="B10" i="1" s="1"/>
  <c r="H13" i="3" l="1"/>
  <c r="G10" i="1"/>
  <c r="H7" i="3"/>
  <c r="G5" i="1"/>
</calcChain>
</file>

<file path=xl/sharedStrings.xml><?xml version="1.0" encoding="utf-8"?>
<sst xmlns="http://schemas.openxmlformats.org/spreadsheetml/2006/main" count="1817" uniqueCount="691">
  <si>
    <t>BẢNG ĐIỀU KHIỂN DỰ ÁN GMRAG2</t>
  </si>
  <si>
    <t>GraphRAG multi-tenant self-host: Keycloak OIDC, RLS thật, ResourceBAC, Qdrant collection-per-tenant, Redis worker, Ollama embedding.</t>
  </si>
  <si>
    <t>Chỉ số</t>
  </si>
  <si>
    <t>Giá trị</t>
  </si>
  <si>
    <t>Luồng</t>
  </si>
  <si>
    <t>Tổng task</t>
  </si>
  <si>
    <t>Hoàn thành</t>
  </si>
  <si>
    <t>Tổng số task</t>
  </si>
  <si>
    <t>Đang làm</t>
  </si>
  <si>
    <t>Rủi ro</t>
  </si>
  <si>
    <t>Chưa bắt đầu</t>
  </si>
  <si>
    <t>Tiến độ chung</t>
  </si>
  <si>
    <t>Khung kế hoạch</t>
  </si>
  <si>
    <t>2 tuần: 17/06-30/06</t>
  </si>
  <si>
    <t>Phạm vi chính</t>
  </si>
  <si>
    <t>Hạng mục</t>
  </si>
  <si>
    <t>Mục tiêu quản lý</t>
  </si>
  <si>
    <t>Theo dõi ở sheet</t>
  </si>
  <si>
    <t>Ghi chú</t>
  </si>
  <si>
    <t>Hạ tầng</t>
  </si>
  <si>
    <t>9 services docker-compose gồm Keycloak</t>
  </si>
  <si>
    <t>Kế hoạch Task</t>
  </si>
  <si>
    <t>Sprint 1</t>
  </si>
  <si>
    <t>Backend lõi</t>
  </si>
  <si>
    <t>Config, DB pool, error envelope</t>
  </si>
  <si>
    <t>Sprint 1-2</t>
  </si>
  <si>
    <t>Auth/RLS</t>
  </si>
  <si>
    <t>TenantContext, SET LOCAL, policy</t>
  </si>
  <si>
    <t>Sprint 2-3</t>
  </si>
  <si>
    <t>Nguyên tắc điều hành</t>
  </si>
  <si>
    <t>Qdrant</t>
  </si>
  <si>
    <t>Collection-per-tenant, chunks + graph</t>
  </si>
  <si>
    <t>Sprint 4</t>
  </si>
  <si>
    <t>1</t>
  </si>
  <si>
    <t>Ưu tiên task P0 trước và khóa scope hằng ngày.</t>
  </si>
  <si>
    <t>Worker</t>
  </si>
  <si>
    <t>Redis ingestion pipeline</t>
  </si>
  <si>
    <t>Sprint 5</t>
  </si>
  <si>
    <t>2</t>
  </si>
  <si>
    <t>Bắt buộc self-host: dùng Keycloak cho AuthN/OIDC, không dùng auth SaaS.</t>
  </si>
  <si>
    <t>RAG/LLM</t>
  </si>
  <si>
    <t>BYOK, DeepSeek, retrieval, citation</t>
  </si>
  <si>
    <t>Sprint 6</t>
  </si>
  <si>
    <t>3</t>
  </si>
  <si>
    <t>Mọi task đi theo TDD: test đỏ trước, triển khai tối thiểu, test xanh, commit riêng.</t>
  </si>
  <si>
    <t>API</t>
  </si>
  <si>
    <t>Tenant-scoped routes + ResourceBAC</t>
  </si>
  <si>
    <t>Sprint 7-8</t>
  </si>
  <si>
    <t>4</t>
  </si>
  <si>
    <t>Mọi query nghiệp vụ phải đi qua TenantContext; không lấy tenant UUID từ URL để xử lý business logic.</t>
  </si>
  <si>
    <t>Frontend</t>
  </si>
  <si>
    <t>Khung Next.js và component mẫu</t>
  </si>
  <si>
    <t>Sprint 9</t>
  </si>
  <si>
    <t>5</t>
  </si>
  <si>
    <t>RLS là lớp bảo vệ bắt buộc ở DB; backend chỉ là lớp kiểm soát bổ sung.</t>
  </si>
  <si>
    <t>Vận hành</t>
  </si>
  <si>
    <t>E2E, pentest RLS, backup, smoke test</t>
  </si>
  <si>
    <t>Timeline 2 tuần</t>
  </si>
  <si>
    <t>Sprint 10</t>
  </si>
  <si>
    <t>6</t>
  </si>
  <si>
    <t>Vector lưu ở Qdrant; PostgreSQL chỉ giữ metadata và quan hệ nghiệp vụ.</t>
  </si>
  <si>
    <t>KẾ HOẠCH TASK GMRAG2</t>
  </si>
  <si>
    <t>Tracker TDD cho 82 task trong khung 2 tuần từ 17/06/2026 đến 30/06/2026. Vẫn giữ sprint gốc để truy vết phạm vi plan.</t>
  </si>
  <si>
    <t>Quy ước TDD: viết test đỏ → chạy để FAIL → triển khai tối thiểu → chạy PASS → commit riêng cho từng task.</t>
  </si>
  <si>
    <t>Mã</t>
  </si>
  <si>
    <t>Sprint</t>
  </si>
  <si>
    <t>Nhóm</t>
  </si>
  <si>
    <t>Công việc</t>
  </si>
  <si>
    <t>Mục tiêu/đầu ra</t>
  </si>
  <si>
    <t>Khu vực chính</t>
  </si>
  <si>
    <t>Loại việc</t>
  </si>
  <si>
    <t>Ưu tiên</t>
  </si>
  <si>
    <t>Phụ thuộc</t>
  </si>
  <si>
    <t>Chủ sở hữu</t>
  </si>
  <si>
    <t>Trạng thái</t>
  </si>
  <si>
    <t>% hoàn thành</t>
  </si>
  <si>
    <t>Bắt đầu</t>
  </si>
  <si>
    <t>Hạn hoàn thành</t>
  </si>
  <si>
    <t>Test đỏ</t>
  </si>
  <si>
    <t>Triển khai</t>
  </si>
  <si>
    <t>Test xanh</t>
  </si>
  <si>
    <t>Commit</t>
  </si>
  <si>
    <t>Kiểm thử/verify</t>
  </si>
  <si>
    <t>T1</t>
  </si>
  <si>
    <t>Khởi tạo monorepo gmrag2/ + git init + README + .gitignore</t>
  </si>
  <si>
    <t>Hạ tầng: Khởi tạo monorepo gmrag2/ + git init + README + .gitignore</t>
  </si>
  <si>
    <t>gmrag2/ + infra/ + backend/ + frontend/</t>
  </si>
  <si>
    <t>P0 - Chặn đường găng</t>
  </si>
  <si>
    <t>Backend Dev</t>
  </si>
  <si>
    <t>Hoàn tất</t>
  </si>
  <si>
    <t>docker compose config &amp;&amp; kiểm tra healthcheck</t>
  </si>
  <si>
    <t>T2</t>
  </si>
  <si>
    <t>infra/docker-compose.yml với 9 services self-host (postgres16, qdrant, minio, redis, ollama, keycloak, backend, worker, frontend) + healthchecks</t>
  </si>
  <si>
    <t>Hạ tầng: infra/docker-compose.yml với 9 services self-host (postgres16, qdrant, minio, redis, ollama, keycloak, backend, worker, frontend) + healthchecks</t>
  </si>
  <si>
    <t>infra/docker-compose.yml</t>
  </si>
  <si>
    <t>T3</t>
  </si>
  <si>
    <t>infra/postgres/init.sql + infra/minio/init.sh (tạo bucket gmrag-uploads)</t>
  </si>
  <si>
    <t>Hạ tầng: infra/postgres/init.sql + infra/minio/init.sh (tạo bucket gmrag-uploads)</t>
  </si>
  <si>
    <t>infra/postgres/init.sql</t>
  </si>
  <si>
    <t>P1 - Cao</t>
  </si>
  <si>
    <t>T4</t>
  </si>
  <si>
    <t>.env.example với mọi env var (DATABASE_URL, KEYCLOAK_ISSUER, KEYCLOAK_CLIENT_ID, DEEPSEEK_, QDRANT_URL, S3_, REDIS_URL, OLLAMA_, GMRAG_, CORS_*)</t>
  </si>
  <si>
    <t>Hạ tầng: .env.example với mọi env var (DATABASE_URL, KEYCLOAK_ISSUER, KEYCLOAK_CLIENT_ID, DEEPSEEK_, QDRANT_URL, S3_, REDIS_URL, OLLAMA_, GMRAG_, CORS_*)</t>
  </si>
  <si>
    <t>.env.example</t>
  </si>
  <si>
    <t>T5</t>
  </si>
  <si>
    <t>Backend Rust workspace Cargo.toml (members: core, api, worker)</t>
  </si>
  <si>
    <t>Hạ tầng: Backend Rust workspace Cargo.toml (members: core, api, worker)</t>
  </si>
  <si>
    <t>Kiểm tra thủ công theo checklist</t>
  </si>
  <si>
    <t>T6</t>
  </si>
  <si>
    <t>backend/crates/core/ skeleton (Config struct đọc env, Error enum, DbPool helper)</t>
  </si>
  <si>
    <t>Hạ tầng: backend/crates/core/ skeleton (Config struct đọc env, Error enum, DbPool helper)</t>
  </si>
  <si>
    <t>T7</t>
  </si>
  <si>
    <t>backend/crates/api/ skeleton: main.rs boot pool+migrate+health endpoint, chạy được cargo run</t>
  </si>
  <si>
    <t>Hạ tầng: backend/crates/api/ skeleton: main.rs boot pool+migrate+health endpoint, chạy được cargo run</t>
  </si>
  <si>
    <t>cargo run -p gmrag-api &amp;&amp; GET /health</t>
  </si>
  <si>
    <t>T8</t>
  </si>
  <si>
    <t>Frontend package.json + next dev chạy được trang / trống</t>
  </si>
  <si>
    <t>Hạ tầng: Frontend package.json + next dev chạy được trang / trống</t>
  </si>
  <si>
    <t>P2 - Trung bình</t>
  </si>
  <si>
    <t>Frontend Dev</t>
  </si>
  <si>
    <t>pnpm install &amp;&amp; pnpm dev</t>
  </si>
  <si>
    <t>T9</t>
  </si>
  <si>
    <t>Định danh &amp; Tenant</t>
  </si>
  <si>
    <t>core/src/config.rs + test parse env (TDD)</t>
  </si>
  <si>
    <t>Hoàn thành theo TDD: core/src/config.rs + test parse env (TDD)</t>
  </si>
  <si>
    <t>backend/crates/api/src/auth + middleware + migrations</t>
  </si>
  <si>
    <t>Backend</t>
  </si>
  <si>
    <t>T1-T8</t>
  </si>
  <si>
    <t>cargo test --workspace</t>
  </si>
  <si>
    <t>T10</t>
  </si>
  <si>
    <t>api/src/auth/jwt.rs validate Keycloak OIDC JWT + JWKS cache + test với mock JWKS</t>
  </si>
  <si>
    <t>Hoàn thành theo TDD: api/src/auth/jwt.rs validate Keycloak OIDC JWT + JWKS cache + test với mock JWKS</t>
  </si>
  <si>
    <t>api/src/auth/jwt.rs</t>
  </si>
  <si>
    <t>Backend API</t>
  </si>
  <si>
    <t>T11</t>
  </si>
  <si>
    <t>api/src/auth/extractor.rs AuthUser (port) + test</t>
  </si>
  <si>
    <t>Hoàn thành theo TDD: api/src/auth/extractor.rs AuthUser (port) + test</t>
  </si>
  <si>
    <t>api/src/auth/extractor.rs</t>
  </si>
  <si>
    <t>T12</t>
  </si>
  <si>
    <t>Migrations: tenants, tenant_members, users, platform_admins (DDL đầy đủ trong plan)</t>
  </si>
  <si>
    <t>Định danh &amp; Tenant: Migrations: tenants, tenant_members, users, platform_admins (DDL đầy đủ trong plan)</t>
  </si>
  <si>
    <t>Database/Bảo mật</t>
  </si>
  <si>
    <t>T13</t>
  </si>
  <si>
    <t>api/src/auth/tenant.rs TenantContext extractor (đọc X-Tenant-Id + validate membership) + test</t>
  </si>
  <si>
    <t>Hoàn thành theo TDD: api/src/auth/tenant.rs TenantContext extractor (đọc X-Tenant-Id + validate membership) + test</t>
  </si>
  <si>
    <t>api/src/auth/tenant.rs</t>
  </si>
  <si>
    <t>T14</t>
  </si>
  <si>
    <t>api/src/middleware/rls.rs middleware set SET LOCAL app.tenant_id + test</t>
  </si>
  <si>
    <t>Hoàn thành theo TDD: api/src/middleware/rls.rs middleware set SET LOCAL app.tenant_id + test</t>
  </si>
  <si>
    <t>api/src/middleware/rls.rs</t>
  </si>
  <si>
    <t>T15</t>
  </si>
  <si>
    <t>RLS policies trên tenants/tenant_members (migration) + test cross-tenant isolation</t>
  </si>
  <si>
    <t>Hoàn thành theo TDD: RLS policies trên tenants/tenant_members (migration) + test cross-tenant isolation</t>
  </si>
  <si>
    <t>T16</t>
  </si>
  <si>
    <t>api/src/auth/provision.rs provision user on first login từ Keycloak claims + test</t>
  </si>
  <si>
    <t>Hoàn thành theo TDD: api/src/auth/provision.rs provision user on first login từ Keycloak claims + test</t>
  </si>
  <si>
    <t>api/src/auth/provision.rs</t>
  </si>
  <si>
    <t>T17</t>
  </si>
  <si>
    <t>Error envelope JSON {error:{code,message}} helper + middleware map lỗi</t>
  </si>
  <si>
    <t>Định danh &amp; Tenant: Error envelope JSON {error:{code,message}} helper + middleware map lỗi</t>
  </si>
  <si>
    <t>T18</t>
  </si>
  <si>
    <t>GET /users/me trả tenants[] + test integration</t>
  </si>
  <si>
    <t>Hoàn thành theo TDD: GET /users/me trả tenants[] + test integration</t>
  </si>
  <si>
    <t>T19</t>
  </si>
  <si>
    <t>Cơ sở dữ liệu</t>
  </si>
  <si>
    <t>Migrations workspaces + workspace_members (owner_id, tenant_id FK)</t>
  </si>
  <si>
    <t>Cơ sở dữ liệu: Migrations workspaces + workspace_members (owner_id, tenant_id FK)</t>
  </si>
  <si>
    <t>backend/crates/api/migrations</t>
  </si>
  <si>
    <t>T12-T15</t>
  </si>
  <si>
    <t xml:space="preserve">Lồng ghép xử lý Blocker 1 &amp; 2 từ BATCH2B: Phải refactor TenantContext thành middleware chạy trước RLS, và chuyển DB connection pool từ role superuser (gmrag) sang role gmrag_app để đảm bảo RLS thực sự có hiệu lực trước khi thêm bảng mới
</t>
  </si>
  <si>
    <t>T20</t>
  </si>
  <si>
    <t>Migrations documents (owner_id, visibility, share_token) + document_chunks (qdrant_point_id, KHÔNG embedding)</t>
  </si>
  <si>
    <t>Cơ sở dữ liệu: Migrations documents (owner_id, visibility, share_token) + document_chunks (qdrant_point_id, KHÔNG embedding)</t>
  </si>
  <si>
    <t>T21</t>
  </si>
  <si>
    <t>Migrations graph_* (+contributor_id, qdrant_point_id)</t>
  </si>
  <si>
    <t>Cơ sở dữ liệu: Migrations graph_* (+contributor_id, qdrant_point_id)</t>
  </si>
  <si>
    <t>T22</t>
  </si>
  <si>
    <t>Migrations chat_sessions (+owner_id, visibility) + chat_messages</t>
  </si>
  <si>
    <t>Cơ sở dữ liệu: Migrations chat_sessions (+owner_id, visibility) + chat_messages</t>
  </si>
  <si>
    <t>T23</t>
  </si>
  <si>
    <t>Migrations resource_acl + invitations</t>
  </si>
  <si>
    <t>Cơ sở dữ liệu: Migrations resource_acl + invitations</t>
  </si>
  <si>
    <t>T24</t>
  </si>
  <si>
    <t>Migrations tenant_quotas + usage_events + audit_log + ingest_jobs</t>
  </si>
  <si>
    <t>Cơ sở dữ liệu: Migrations tenant_quotas + usage_events + audit_log + ingest_jobs</t>
  </si>
  <si>
    <t>T25</t>
  </si>
  <si>
    <t>RLS policy apply trên TẤT cả bảng có tenant_id (migration) + test negative isolation</t>
  </si>
  <si>
    <t>Hoàn thành theo TDD: RLS policy apply trên TẤT cả bảng có tenant_id (migration) + test negative isolation</t>
  </si>
  <si>
    <t>T26</t>
  </si>
  <si>
    <t>Seed script infra/postgres/seed.sql (2 tenants, users, sample workspace)</t>
  </si>
  <si>
    <t>Cơ sở dữ liệu: Seed script infra/postgres/seed.sql (2 tenants, users, sample workspace)</t>
  </si>
  <si>
    <t>infra/postgres/seed.sql</t>
  </si>
  <si>
    <t xml:space="preserve">Lưu ý DB đang áp dụng bless checksum cho 2 file migration cũ, lệnh migrate có thể cần dọn dẹp offline cache. Các bài test negative isolation cross-tenant phải tiếp tục sử dụng SET LOCAL ROLE gmrag_app
</t>
  </si>
  <si>
    <t>T27</t>
  </si>
  <si>
    <t>Vector DB</t>
  </si>
  <si>
    <t>core thêm qdrant-client dep + QdrantStore wrapper (create/delete collection, upsert/search)</t>
  </si>
  <si>
    <t>Vector DB: core thêm qdrant-client dep + QdrantStore wrapper (create/delete collection, upsert/search)</t>
  </si>
  <si>
    <t>backend/crates/core/src/qdrant + Qdrant</t>
  </si>
  <si>
    <t>T19-T26</t>
  </si>
  <si>
    <t>T28</t>
  </si>
  <si>
    <t>Collection schema: chunks_{tenant_id} dim 768 HNSW cosine + payload {workspace_id, document_id, chunk_index, filename, owner_id, visibility}</t>
  </si>
  <si>
    <t>Vector DB: Collection schema: chunks_{tenant_id} dim 768 HNSW cosine + payload {workspace_id, document_id, chunk_index, filename, owner_id, visibility}</t>
  </si>
  <si>
    <t>T29</t>
  </si>
  <si>
    <t>Collection schema: graph_{tenant_id} dim 768 + payload {node_id, workspace_id, entity_name}</t>
  </si>
  <si>
    <t>Vector DB: Collection schema: graph_{tenant_id} dim 768 + payload {node_id, workspace_id, entity_name}</t>
  </si>
  <si>
    <t>T30</t>
  </si>
  <si>
    <t>Lifecycle hook: create tenant → tạo 2 collection; delete tenant → xóa collection + test</t>
  </si>
  <si>
    <t>Hoàn thành theo TDD: Lifecycle hook: create tenant → tạo 2 collection; delete tenant → xóa collection + test</t>
  </si>
  <si>
    <t>Trước khi tạo collection theo tenant, phải đổi default Qdrant sang gRPC port 6334 (DEFAULT_QDRANT_URL, .env.example). create_chunks_collection/create_graph_collection hiện không idempotent, lifecycle hook cần check list_collection_names hoặc thêm ensure_* wrapper trước khi create.</t>
  </si>
  <si>
    <t>T31</t>
  </si>
  <si>
    <t>QdrantStore::upsert_chunks(tenant, points) + test</t>
  </si>
  <si>
    <t>Hoàn thành theo TDD: QdrantStore::upsert_chunks(tenant, points) + test</t>
  </si>
  <si>
    <t>T32</t>
  </si>
  <si>
    <t>QdrantStore::search_chunks(tenant, vector, filter, top_k) + test recall</t>
  </si>
  <si>
    <t>Hoàn thành theo TDD: QdrantStore::search_chunks(tenant, vector, filter, top_k) + test recall</t>
  </si>
  <si>
    <t>&lt; Thêm hotfix. 2 dòng fix clippy. Tạo tenant_resolve_middleware mới, wire đúng thứ tự LIFO của Axum. Nhớ là Axum layer stack ngược — .layer() gọi sau = chạy trước. Nếu wire sai thứ tự là 500 hết.   Tách admin_pool (superuser, chỉ dùng cho migration + provision) với app_pool (gmrag_app, RLS enforced, dùng cho mọi business query). Worker Batch 5 PHẢI dùng app_pool không thì data bypass RLS bay màu không hay :)</t>
  </si>
  <si>
    <t>T33</t>
  </si>
  <si>
    <t>QdrantStore::search_graph_nodes + upsert_graph + test</t>
  </si>
  <si>
    <t>Hoàn thành theo TDD: QdrantStore::search_graph_nodes + upsert_graph + test</t>
  </si>
  <si>
    <t>T29 mới chỉ tạo schema graph_{tenant_id}. Khi implement upsert/search graph nodes cần embed entity description, filter theo workspace_id, và giữ node_id để join ngược về graph_nodes trong Postgres.</t>
  </si>
  <si>
    <t>T34</t>
  </si>
  <si>
    <t>Worker ingestion</t>
  </si>
  <si>
    <t>worker/ crate skeleton + Redis poll loop (BRPOP gmrag:ingest_jobs) + test với redis mock</t>
  </si>
  <si>
    <t>Hoàn thành theo TDD: worker/ crate skeleton + Redis poll loop (BRPOP gmrag:ingest_jobs) + test với redis mock</t>
  </si>
  <si>
    <t>backend/crates/worker/src</t>
  </si>
  <si>
    <t>T1-T8, T27-T33</t>
  </si>
  <si>
    <t>cargo test -p gmrag-worker</t>
  </si>
  <si>
    <t>CẢNH BÁO KIẾN TRÚC TỪ T19: Worker hiện đang dùng init_pool (superuser). Khi xử lý ingest pipeline, worker bắt buộc phải chuyển sang dùng init_app_pool và thực thi SET LOCAL app.tenant_id = ... cho từng job cụ thể trước khi ghi metadata vào Postgres, nếu không data sẽ bypass RLS hoặc bị chặn.</t>
  </si>
  <si>
    <t>T35</t>
  </si>
  <si>
    <t>worker/src/storage.rs S3 download/upload (MinIO) + test</t>
  </si>
  <si>
    <t>Hoàn thành theo TDD: worker/src/storage.rs S3 download/upload (MinIO) + test</t>
  </si>
  <si>
    <t>worker/src/storage.rs</t>
  </si>
  <si>
    <t>T36</t>
  </si>
  <si>
    <t>worker/src/pdf_parser.rs port lopdf+pdf-extract + timeout + test với sample PDF</t>
  </si>
  <si>
    <t>Hoàn thành theo TDD: worker/src/pdf_parser.rs port lopdf+pdf-extract + timeout + test với sample PDF</t>
  </si>
  <si>
    <t>worker/src/pdf_parser.rs</t>
  </si>
  <si>
    <t>T37</t>
  </si>
  <si>
    <t>worker/src/pdf_parser.rs OCR fallback thật (pdfium-render rasterize) + test</t>
  </si>
  <si>
    <t>Hoàn thành theo TDD: worker/src/pdf_parser.rs OCR fallback thật (pdfium-render rasterize) + test</t>
  </si>
  <si>
    <t>T38</t>
  </si>
  <si>
    <t>worker/src/chunking.rs port tiktoken cl100k 1200/100 + test</t>
  </si>
  <si>
    <t>Hoàn thành theo TDD: worker/src/chunking.rs port tiktoken cl100k 1200/100 + test</t>
  </si>
  <si>
    <t>worker/src/chunking.rs</t>
  </si>
  <si>
    <t>T39</t>
  </si>
  <si>
    <t>worker/src/embedding.rs Ollama embed batch + retry/backoff + test (mock Ollama)</t>
  </si>
  <si>
    <t>Hoàn thành theo TDD: worker/src/embedding.rs Ollama embed batch + retry/backoff + test (mock Ollama)</t>
  </si>
  <si>
    <t>worker/src/embedding.rs</t>
  </si>
  <si>
    <t>T40</t>
  </si>
  <si>
    <t>BYOK embed trait: đọc tenant_llm_config, nếu có OpenAI key → dùng text-embedding-3-small + test</t>
  </si>
  <si>
    <t>Hoàn thành theo TDD: BYOK embed trait: đọc tenant_llm_config, nếu có OpenAI key → dùng text-embedding-3-small + test</t>
  </si>
  <si>
    <t>T41</t>
  </si>
  <si>
    <t>worker/src/graph.rs port DeepSeek extract + tolerant JSON parser + test</t>
  </si>
  <si>
    <t>Hoàn thành theo TDD: worker/src/graph.rs port DeepSeek extract + tolerant JSON parser + test</t>
  </si>
  <si>
    <t>worker/src/graph.rs</t>
  </si>
  <si>
    <t>T42</t>
  </si>
  <si>
    <t>worker/src/qdrant_writer.rs dual-write Postgres (metadata) + Qdrant (vector) trong transaction + test</t>
  </si>
  <si>
    <t>Hoàn thành theo TDD: worker/src/qdrant_writer.rs dual-write Postgres (metadata) + Qdrant (vector) trong transaction + test</t>
  </si>
  <si>
    <t>worker/src/qdrant_writer.rs</t>
  </si>
  <si>
    <t>Khi worker dual-write Postgres + Qdrant, phải đảm bảo Qdrant dùng 6334 và collection đã tồn tại/idempotent trước khi upsert; nếu không job có thể fail do collection đã tồn tại hoặc client nối nhầm REST port 6333.</t>
  </si>
  <si>
    <t>T43</t>
  </si>
  <si>
    <t>Job retry logic (attempts++, backoff, mark FAILED sau 3 lần) + test</t>
  </si>
  <si>
    <t>Hoàn thành theo TDD: Job retry logic (attempts++, backoff, mark FAILED sau 3 lần) + test</t>
  </si>
  <si>
    <t>T44</t>
  </si>
  <si>
    <t>RAG &amp; LLM</t>
  </si>
  <si>
    <t>api/src/llm/provider.rs trait (embed_query, chat_stream, graph_extract) + DeepSeek impl + test mock</t>
  </si>
  <si>
    <t>Hoàn thành theo TDD: api/src/llm/provider.rs trait (embed_query, chat_stream, graph_extract) + DeepSeek impl + test mock</t>
  </si>
  <si>
    <t>api/src/llm/provider.rs</t>
  </si>
  <si>
    <t>T27-T33, T34-T43</t>
  </si>
  <si>
    <t>T45</t>
  </si>
  <si>
    <t>api/src/llm/byok.rs decrypt tenant config (AES-GCM) + fallback env default + test</t>
  </si>
  <si>
    <t>Hoàn thành theo TDD: api/src/llm/byok.rs decrypt tenant config (AES-GCM) + fallback env default + test</t>
  </si>
  <si>
    <t>api/src/llm/byok.rs</t>
  </si>
  <si>
    <t>T46</t>
  </si>
  <si>
    <t>api/src/chat/retrieval.rs embed query → Qdrant search chunks top-5 (filter ACL) + test</t>
  </si>
  <si>
    <t>Hoàn thành theo TDD: api/src/chat/retrieval.rs embed query → Qdrant search chunks top-5 (filter ACL) + test</t>
  </si>
  <si>
    <t>api/src/chat/retrieval.rs</t>
  </si>
  <si>
    <t>T47</t>
  </si>
  <si>
    <t>api/src/chat/retrieval.rs Qdrant graph nodes top-5 + ILIKE fallback + edges + test</t>
  </si>
  <si>
    <t>Hoàn thành theo TDD: api/src/chat/retrieval.rs Qdrant graph nodes top-5 + ILIKE fallback + edges + test</t>
  </si>
  <si>
    <t>T48</t>
  </si>
  <si>
    <t>api/src/chat/mod.rs assemble_system_prompt (port, chunks [chunk:N]) + test</t>
  </si>
  <si>
    <t>Hoàn thành theo TDD: api/src/chat/mod.rs assemble_system_prompt (port, chunks [chunk:N]) + test</t>
  </si>
  <si>
    <t>api/src/chat/mod.rs</t>
  </si>
  <si>
    <t>T49</t>
  </si>
  <si>
    <t>api/src/chat/streaming.rs DeepSeek SSE stream + DeepseekTokenParser port + test</t>
  </si>
  <si>
    <t>Hoàn thành theo TDD: api/src/chat/streaming.rs DeepSeek SSE stream + DeepseekTokenParser port + test</t>
  </si>
  <si>
    <t>api/src/chat/streaming.rs</t>
  </si>
  <si>
    <t>T50</t>
  </si>
  <si>
    <t>api/src/chat/mod.rs resolve_chunk_index_citations (point_id → uuid) + test</t>
  </si>
  <si>
    <t>Hoàn thành theo TDD: api/src/chat/mod.rs resolve_chunk_index_citations (point_id → uuid) + test</t>
  </si>
  <si>
    <t>T51</t>
  </si>
  <si>
    <t>Metering: ghi usage_events (llm_tokens, embedding_tokens) sau mỗi call + test</t>
  </si>
  <si>
    <t>Hoàn thành theo TDD: Metering: ghi usage_events (llm_tokens, embedding_tokens) sau mỗi call + test</t>
  </si>
  <si>
    <t>backend/crates/api/src/chat + llm</t>
  </si>
  <si>
    <t>T52</t>
  </si>
  <si>
    <t>API nghiệp vụ</t>
  </si>
  <si>
    <t>routes/tenants.rs GET/POST /tenants (auto OWNER) + test</t>
  </si>
  <si>
    <t>Hoàn thành theo TDD: routes/tenants.rs GET/POST /tenants (auto OWNER) + test</t>
  </si>
  <si>
    <t>backend/crates/api/src/routes</t>
  </si>
  <si>
    <t>T13-T25, T44-T51</t>
  </si>
  <si>
    <t>Từ T26 đã có .sqlx offline cache. Khi thêm/sửa query!/query_as! ở các route API, phải chạy lại cargo sqlx prepare --workspace; trên Windows/host dev nên dùng SQLX_OFFLINE=true khi clippy/build nếu DB host postgres16 không resolve.</t>
  </si>
  <si>
    <t>T53</t>
  </si>
  <si>
    <t>routes/tenants.rs PATCH/DELETE /tenants/{tid} (TENANT_OWNER) + cascade + test</t>
  </si>
  <si>
    <t>Hoàn thành theo TDD: routes/tenants.rs PATCH/DELETE /tenants/{tid} (TENANT_OWNER) + cascade + test</t>
  </si>
  <si>
    <t>T54</t>
  </si>
  <si>
    <t>routes/tenant_members.rs list/invite/remove + test ACL</t>
  </si>
  <si>
    <t>Hoàn thành theo TDD: routes/tenant_members.rs list/invite/remove + test ACL</t>
  </si>
  <si>
    <t>T55</t>
  </si>
  <si>
    <t>routes/workspaces.rs CRUD tenant-scoped + test</t>
  </si>
  <si>
    <t>Hoàn thành theo TDD: routes/workspaces.rs CRUD tenant-scoped + test</t>
  </si>
  <si>
    <t>BẤT BIẾN RLS (Blocker 3 BATCH2B): Mọi handler thao tác dữ liệu tenant-scoped PHẢI extract SharedConnection. Tuyệt đối KHÔNG dùng PgPool trực tiếp, nếu không query sẽ bị RLS từ chối hoặc bypass</t>
  </si>
  <si>
    <t>T56</t>
  </si>
  <si>
    <t>routes/ws_members.rs workspace members + test</t>
  </si>
  <si>
    <t>Hoàn thành theo TDD: routes/ws_members.rs workspace members + test</t>
  </si>
  <si>
    <t>T57</t>
  </si>
  <si>
    <t>routes/documents.rs list (visibility+ACL filter) + test</t>
  </si>
  <si>
    <t>Hoàn thành theo TDD: routes/documents.rs list (visibility+ACL filter) + test</t>
  </si>
  <si>
    <t>T58</t>
  </si>
  <si>
    <t>routes/documents.rs upload → S3 + enqueue ingest_job + quota check + test</t>
  </si>
  <si>
    <t>Hoàn thành theo TDD: routes/documents.rs upload → S3 + enqueue ingest_job + quota check + test</t>
  </si>
  <si>
    <t>T59</t>
  </si>
  <si>
    <t>routes/documents.rs delete (orphan graph cleanup) + test</t>
  </si>
  <si>
    <t>Hoàn thành theo TDD: routes/documents.rs delete (orphan graph cleanup) + test</t>
  </si>
  <si>
    <t>T60</t>
  </si>
  <si>
    <t>routes/documents.rs preview + chunk fetch + test</t>
  </si>
  <si>
    <t>Hoàn thành theo TDD: routes/documents.rs preview + chunk fetch + test</t>
  </si>
  <si>
    <t>T61</t>
  </si>
  <si>
    <t>routes/chat.rs POST chat (SSE) + session ACL + test</t>
  </si>
  <si>
    <t>Hoàn thành theo TDD: routes/chat.rs POST chat (SSE) + session ACL + test</t>
  </si>
  <si>
    <t>T62</t>
  </si>
  <si>
    <t>routes/chat.rs sessions/messages CRUD + ACL + test</t>
  </si>
  <si>
    <t>Hoàn thành theo TDD: routes/chat.rs sessions/messages CRUD + ACL + test</t>
  </si>
  <si>
    <t>T63</t>
  </si>
  <si>
    <t>routes/graph.rs GET graph (ACL-filtered source docs) + test</t>
  </si>
  <si>
    <t>Hoàn thành theo TDD: routes/graph.rs GET graph (ACL-filtered source docs) + test</t>
  </si>
  <si>
    <t>T64</t>
  </si>
  <si>
    <t>Phân quyền tài nguyên</t>
  </si>
  <si>
    <t>Migration rebac_relation_tuples: gán ngữ nghĩa quan hệ cho resource_acl.permission (owner|editor|viewer) + principal_type {user,workspace} + index phủ check; reconcile mismatch resources/subject_user_id + schema tests</t>
  </si>
  <si>
    <t>Hoàn thành theo TDD: Migration rebac_relation_tuples: gán ngữ nghĩa quan hệ cho resource_acl.permission (owner|editor|viewer) + principal_type {user,workspace} + index phủ check; reconcile mismatch resources/subject_user_id + schema tests</t>
  </si>
  <si>
    <t>backend/migrations + crates/api/src/rbac</t>
  </si>
  <si>
    <t>Phân quyền</t>
  </si>
  <si>
    <t>T52-T63</t>
  </si>
  <si>
    <t>ReBAC Zanzibar (docs/5068.pdf). Engine đã hiện thực theo TDD + test xanh; chi tiết docs/progress/T64.md.</t>
  </si>
  <si>
    <t>T65</t>
  </si>
  <si>
    <t>rbac/model.rs: relation-tuple types + namespace config (document/chat_session/workspace) + userset-rewrite (concentric + tuple_to_userset) + unit tests</t>
  </si>
  <si>
    <t>Hoàn thành theo TDD: rbac/model.rs: relation-tuple types + namespace config (document/chat_session/workspace) + userset-rewrite (concentric + tuple_to_userset) + unit tests</t>
  </si>
  <si>
    <t>backend/crates/api/src/rbac</t>
  </si>
  <si>
    <t>Thay framing role-hierarchy bằng quan hệ đồng tâm viewer⊇editor⊇owner. Xem docs/progress/T65.md.</t>
  </si>
  <si>
    <t>T66</t>
  </si>
  <si>
    <t>rbac/check.rs: check_relation(tenant,object,relation,principal) đệ quy chặn độ sâu trên resource_acl + workspace_members + owner_id (RLS-scoped) + test matrix</t>
  </si>
  <si>
    <t>Hoàn thành theo TDD: rbac/check.rs: check_relation(tenant,object,relation,principal) đệ quy chặn độ sâu trên resource_acl + workspace_members + owner_id (RLS-scoped) + test matrix</t>
  </si>
  <si>
    <t>Check chạy trong cùng RLS transaction → không stale-ACL. Xem docs/progress/T66.md.</t>
  </si>
  <si>
    <t>T67</t>
  </si>
  <si>
    <t>routes/acl.rs: list/create/revoke grants (relation tuples) + audit_log + self-guard (chỉ owner mới share) + tests</t>
  </si>
  <si>
    <t>Hoàn thành theo TDD: routes/acl.rs: list/create/revoke grants (relation tuples) + audit_log + self-guard (chỉ owner mới share) + tests</t>
  </si>
  <si>
    <t>Engine đã hiện thực + test xanh. Xem docs/progress/T67.md.</t>
  </si>
  <si>
    <t>T68</t>
  </si>
  <si>
    <t>routes/settings.rs GET/PUT BYOK config (encrypt on write) + test</t>
  </si>
  <si>
    <t>Hoàn thành theo TDD: routes/settings.rs GET/PUT BYOK config (encrypt on write) + test</t>
  </si>
  <si>
    <t>backend/crates/api/src/rbac + routes</t>
  </si>
  <si>
    <t>T69</t>
  </si>
  <si>
    <t>routes/metering.rs GET usage + quota + audit + test</t>
  </si>
  <si>
    <t>Hoàn thành theo TDD: routes/metering.rs GET usage + quota + audit + test</t>
  </si>
  <si>
    <t>T70</t>
  </si>
  <si>
    <t>Frontend foundation: Next.js 16 App Router, root layout, dev shell, providers (QueryClientProvider, theme/toast), shadcn/ui init, Auth.js v5 Keycloak</t>
  </si>
  <si>
    <t>Frontend: Next.js 16 + App Router + QueryClientProvider + shadcn/ui + Auth.js Keycloak + root layout + development shell</t>
  </si>
  <si>
    <t>frontend/src/app + src/lib/query + src/components/ui</t>
  </si>
  <si>
    <t>T84A, T84B, T84C</t>
  </si>
  <si>
    <t>Chưa</t>
  </si>
  <si>
    <t>pnpm lint + pnpm typecheck; Auth.js login smoke; shadcn render smoke</t>
  </si>
  <si>
    <t>Pre-batch đã nâng frontend lên Next.js 16.2.9, cài keycloak-js, next-auth@beta, thêm NEXT_PUBLIC_TENANT_HEADER. Task frontend auth nên dùng baseline này, không quay về giả định Next 15/Auth lib chưa chọn. T84A/B/C = OpenAPI (T84A), API contract audit (T84B), architecture audit (T84C) — progress docs; không phải ID workbook mới. Stack khóa trong docs/FRONTEND_ARCHITECTURE.md.</t>
  </si>
  <si>
    <t>T71</t>
  </si>
  <si>
    <t>API layer: openapi-typescript + openapi-fetch — generate schema.d.ts từ /openapi.json; auth headers; X-Tenant-ID injection; HTTP error envelope { error: { code, message } } parse</t>
  </si>
  <si>
    <t>Frontend: openapi-typescript + openapi-fetch + generated types + headers/errors helpers (per FRONTEND_ARCHITECTURE.md#API Client)</t>
  </si>
  <si>
    <t>frontend/src/lib/api/</t>
  </si>
  <si>
    <t>pnpm openapi:generate + pnpm typecheck</t>
  </si>
  <si>
    <t>T72</t>
  </si>
  <si>
    <t>Tenant context: active tenant, persistence (gmrag:activeTenantId localStorage + Zustand), tenant switching</t>
  </si>
  <si>
    <t>Frontend: tenant bootstrap via GET /users/me; active tenant state; switch tenant</t>
  </si>
  <si>
    <t>frontend/src/lib/store/ + tenant selection routes</t>
  </si>
  <si>
    <t>pnpm test hoặc pnpm lint</t>
  </si>
  <si>
    <t>T73</t>
  </si>
  <si>
    <t>Application shell: Next.js middleware protected routes, tenant layout /t/[tid]/, workspace layout, sidebar navigation, TenantSwitcher</t>
  </si>
  <si>
    <t>Frontend: auth middleware + tenant/workspace layouts + sidebar + TenantSwitcher (not sample layout only)</t>
  </si>
  <si>
    <t>frontend/src/app/</t>
  </si>
  <si>
    <t>T74</t>
  </si>
  <si>
    <t>Generated SDK integration: typed openapi-fetch client, thin domain wrappers, React Query keys/helpers, POST-SSE wrapper (sse.ts), multipart upload wrapper (upload.ts)</t>
  </si>
  <si>
    <t>Frontend: generated client + domain modules (tenants/workspaces/documents/chat/settings/metering) + query helpers + sse.ts + upload.ts</t>
  </si>
  <si>
    <t>frontend/src/lib/</t>
  </si>
  <si>
    <t>T75</t>
  </si>
  <si>
    <t>Documents &amp; ACL UI: mount AclShareDialog (T84) trên document/chat; UploadDropzone; document status polling (React Query); permission UI</t>
  </si>
  <si>
    <t>Frontend: wire T84 AclShareDialog + UploadDropzone + status polling + permission UI</t>
  </si>
  <si>
    <t>frontend/src/features/documents + components/</t>
  </si>
  <si>
    <t>T76</t>
  </si>
  <si>
    <t>Streaming chat UI: POST-SSE via @microsoft/fetch-event-source, AbortController, citation rendering, chat session handling</t>
  </si>
  <si>
    <t>Frontend: ChatPanel — POST-SSE events (text|citation|citation_unknown|done|error), AbortController, session CRUD</t>
  </si>
  <si>
    <t>frontend/src/features/chat/</t>
  </si>
  <si>
    <t>Manual POST-SSE test (Authorization + X-Tenant-ID headers); pnpm typecheck</t>
  </si>
  <si>
    <t>T77</t>
  </si>
  <si>
    <t>Design system primitives: QuotaIndicator, StatusBadge, CitationCard, EmptyState, ErrorState, LlmSettingsForm (+ shadcn base components)</t>
  </si>
  <si>
    <t>Frontend: shared UI primitives for quota, ingestion status, citations, empty/error states, LLM settings</t>
  </si>
  <si>
    <t>frontend/src/components/ui + src/components/</t>
  </si>
  <si>
    <t>T78</t>
  </si>
  <si>
    <t>Kiểm thử &amp; vận hành</t>
  </si>
  <si>
    <t>E2E integration test (OpenAPI contract + frontend flow): login → select tenant → upload → poll ingest status → chat stream → verify citation → ACL share</t>
  </si>
  <si>
    <t>Kiểm thử &amp; vận hành: E2E full flow theo OpenAPI contract + frontend (Playwright): login/tenant/upload/poll/chat/citation/ACL</t>
  </si>
  <si>
    <t>infra + test suites + scripts</t>
  </si>
  <si>
    <t>Vận hành/QA</t>
  </si>
  <si>
    <t>T1-T77</t>
  </si>
  <si>
    <t>PM</t>
  </si>
  <si>
    <t>Playwright E2E + cargo test --workspace; validate against OpenAPI contract</t>
  </si>
  <si>
    <t>T79</t>
  </si>
  <si>
    <t>RLS pentest + ReBAC validation: negative tests cross-tenant leak; share→access, revoke→denied, workspace inheritance (bổ sung tests/rebac_e2e.rs T85)</t>
  </si>
  <si>
    <t>Kiểm thử &amp; vận hành: RLS pentest cross-tenant + ReBAC validation (share/revoke/inheritance); 403/empty/404 semantics</t>
  </si>
  <si>
    <t>cargo test --workspace + kịch bản E2E</t>
  </si>
  <si>
    <t>T80</t>
  </si>
  <si>
    <t>Quota enforcement test (vượt → 429)</t>
  </si>
  <si>
    <t>Kiểm thử &amp; vận hành: Quota enforcement test (vượt → 429)</t>
  </si>
  <si>
    <t>T81</t>
  </si>
  <si>
    <t>docker-compose full-stack smoke test: frontend + backend + worker + postgres + qdrant + keycloak (+ minio/redis/ollama) + README deploy guide</t>
  </si>
  <si>
    <t>Kiểm thử &amp; vận hành: docker-compose full-stack smoke (frontend container + backend + postgres + qdrant + keycloak) + README deploy guide</t>
  </si>
  <si>
    <t>docker compose up --build &amp;&amp; smoke test</t>
  </si>
  <si>
    <t>Full-stack smoke test cần giữ các thay đổi ngoài plan từ pre-batch: healthcheck Qdrant/Ollama dùng bash /dev/tcp, backend/worker image Rust dùng rust:slim-bookworm; verify 9/9 services healthy theo compose hiện tại (gồm frontend container). Recovery entry point cho T82.</t>
  </si>
  <si>
    <t>T82</t>
  </si>
  <si>
    <t>Qdrant snapshot backup script + Postgres pg_dump per-tenant script + recovery documentation (restore runbook)</t>
  </si>
  <si>
    <t>Kiểm thử &amp; vận hành: Qdrant snapshot + Postgres pg_dump per-tenant + recovery documentation (restore procedure)</t>
  </si>
  <si>
    <t>Document restore/runbook alongside scripts</t>
  </si>
  <si>
    <t>T83</t>
  </si>
  <si>
    <t>Tích hợp check_relation vào read paths: thay ACL SQL inline trong routes/documents.rs (list/preview/delete); chat.rs (T61/T62) + graph.rs (T63) khi land; regression tests</t>
  </si>
  <si>
    <t>Hoàn thành theo TDD: Tích hợp check_relation vào read paths: thay ACL SQL inline trong routes/documents.rs (list/preview/delete); chat.rs (T61/T62) + graph.rs (T63) khi land; regression tests</t>
  </si>
  <si>
    <t>backend/crates/api/src/routes + rbac</t>
  </si>
  <si>
    <t>T66, T60</t>
  </si>
  <si>
    <t>cargo test -p gmrag-api</t>
  </si>
  <si>
    <t>documents.rs đã tích hợp + test xanh; chat/graph chờ T61-T63. Xem docs/progress/T83.md.</t>
  </si>
  <si>
    <t>T84</t>
  </si>
  <si>
    <t>Frontend AclShareDialog + lib/acl.ts: grant/revoke vai trò theo file &amp; chat session, wiring tới routes/acl.rs</t>
  </si>
  <si>
    <t>Hoàn thành theo TDD: Frontend AclShareDialog + lib/acl.ts: grant/revoke vai trò theo file &amp; chat session, wiring tới routes/acl.rs</t>
  </si>
  <si>
    <t>frontend/components + frontend/lib</t>
  </si>
  <si>
    <t>T67, T75</t>
  </si>
  <si>
    <t>tsc --noEmit + next lint</t>
  </si>
  <si>
    <t>Component + client đã tạo, type-check sạch; mount khi FE baseline (T70+) land. Xem docs/progress/T84.md.</t>
  </si>
  <si>
    <t>T85</t>
  </si>
  <si>
    <t>ReBAC E2E + negative pentest: share→access, revoke→denied, cross-tenant tuple denied, workspace inheritance; mở rộng T78/T79</t>
  </si>
  <si>
    <t>Hoàn thành theo TDD: ReBAC E2E + negative pentest: share→access, revoke→denied, cross-tenant tuple denied, workspace inheritance; mở rộng T78/T79</t>
  </si>
  <si>
    <t>backend/crates/api/tests + frontend e2e</t>
  </si>
  <si>
    <t>T83, T84</t>
  </si>
  <si>
    <t>cargo test -p gmrag-api + kịch bản E2E</t>
  </si>
  <si>
    <t>Backend E2E/pentest 5 test xanh; FE-E2E nối tiếp T78/T79. Xem docs/progress/T85.md.</t>
  </si>
  <si>
    <t>TIMELINE 2 TUẦN</t>
  </si>
  <si>
    <t>Kế hoạch được nén trong 14 ngày từ 17/06/2026 đến 30/06/2026. Các sprint bên dưới là sprint gốc/luồng phạm vi từ plan ban đầu.</t>
  </si>
  <si>
    <t>Sprint gốc</t>
  </si>
  <si>
    <t>Tên luồng</t>
  </si>
  <si>
    <t>Số task</t>
  </si>
  <si>
    <t>Kết thúc</t>
  </si>
  <si>
    <t>Đầu ra chính</t>
  </si>
  <si>
    <t>Ngày 1
17/06</t>
  </si>
  <si>
    <t>Ngày 2
18/06</t>
  </si>
  <si>
    <t>Ngày 3
19/06</t>
  </si>
  <si>
    <t>Ngày 4
20/06</t>
  </si>
  <si>
    <t>Ngày 5
21/06</t>
  </si>
  <si>
    <t>Ngày 6
22/06</t>
  </si>
  <si>
    <t>Ngày 7
23/06</t>
  </si>
  <si>
    <t>Ngày 8
24/06</t>
  </si>
  <si>
    <t>Ngày 9
25/06</t>
  </si>
  <si>
    <t>Ngày 10
26/06</t>
  </si>
  <si>
    <t>Ngày 11
27/06</t>
  </si>
  <si>
    <t>Ngày 12
28/06</t>
  </si>
  <si>
    <t>Ngày 13
29/06</t>
  </si>
  <si>
    <t>Ngày 14
30/06</t>
  </si>
  <si>
    <t>Hạ tầng &amp; khởi tạo monorepo</t>
  </si>
  <si>
    <t>Repo gmrag2, infra 9 services gồm Keycloak, Rust workspace, API health, frontend trang trống.</t>
  </si>
  <si>
    <t>■</t>
  </si>
  <si>
    <t>Xác thực &amp; ngữ cảnh tenant</t>
  </si>
  <si>
    <t>AuthUser từ Keycloak JWT, TenantContext, RLS cơ bản, provision user on first login, envelope lỗi.</t>
  </si>
  <si>
    <t>Lược đồ dữ liệu &amp; RLS đầy đủ</t>
  </si>
  <si>
    <t>Migrations chính, seed script, test cô lập tenant âm tính.</t>
  </si>
  <si>
    <t>Tích hợp Qdrant</t>
  </si>
  <si>
    <t>QdrantStore wrapper, lifecycle collection, upsert/search chunks và graph.</t>
  </si>
  <si>
    <t>Worker &amp; pipeline ingestion</t>
  </si>
  <si>
    <t>Worker crate, S3, parser/OCR, chunking, embedding, graph extract, retry.</t>
  </si>
  <si>
    <t>Truy xuất RAG &amp; LLM</t>
  </si>
  <si>
    <t>Provider trait, BYOK decrypt, retrieval chunks/graph, DeepSeek SSE, metering.</t>
  </si>
  <si>
    <t>API tenant-scoped</t>
  </si>
  <si>
    <t>CRUD tenant/workspace/document/chat/graph, upload, enqueue, ACL filter.</t>
  </si>
  <si>
    <t>ResourceBAC &amp; route ACL</t>
  </si>
  <si>
    <t>check_permission, role hierarchy, grants, audit log, BYOK settings, usage.</t>
  </si>
  <si>
    <t>Khung Frontend</t>
  </si>
  <si>
    <t>Auth.js Keycloak provider, layout tenant/workspace, client wrappers, ChatPanel skeleton.</t>
  </si>
  <si>
    <t>Gia cố, kiểm thử &amp; vận hành</t>
  </si>
  <si>
    <t>E2E pass, negative isolation pass, README deploy, Qdrant/Postgres backup.</t>
  </si>
  <si>
    <t>RỦI RO &amp; QUYẾT ĐỊNH</t>
  </si>
  <si>
    <t>Tổng hợp quyết định kiến trúc và rủi ro cần quản trị trong quá trình build từ đầu.</t>
  </si>
  <si>
    <t>Quyết định kiến trúc</t>
  </si>
  <si>
    <t>ID</t>
  </si>
  <si>
    <t>Chủ đề</t>
  </si>
  <si>
    <t>Quyết định</t>
  </si>
  <si>
    <t>Lý do</t>
  </si>
  <si>
    <t>Tác động quản lý</t>
  </si>
  <si>
    <t>Sở hữu</t>
  </si>
  <si>
    <t>Ngày</t>
  </si>
  <si>
    <t>Liên quan</t>
  </si>
  <si>
    <t>D1</t>
  </si>
  <si>
    <t>Định danh</t>
  </si>
  <si>
    <t>Keycloak self-host làm AuthN/OIDC; tenants vẫn DB-managed</t>
  </si>
  <si>
    <t>Bắt buộc self-host và vẫn giữ kiểm soát tenant/RLS trong DB</t>
  </si>
  <si>
    <t>Cần vận hành realm, client, redirect URI, SMTP/backup</t>
  </si>
  <si>
    <t>Đã chốt</t>
  </si>
  <si>
    <t>Sprint 1, 2, 9</t>
  </si>
  <si>
    <t>D2</t>
  </si>
  <si>
    <t>Cô lập tenant</t>
  </si>
  <si>
    <t>TenantContext + SET LOCAL app.tenant_id + RLS</t>
  </si>
  <si>
    <t>Cô lập tenant ở DB</t>
  </si>
  <si>
    <t>Mọi query phải theo transaction context</t>
  </si>
  <si>
    <t>D3</t>
  </si>
  <si>
    <t>Qdrant collection-per-tenant</t>
  </si>
  <si>
    <t>Tách dữ liệu vector thật theo tenant</t>
  </si>
  <si>
    <t>Cần lifecycle tạo/xóa collection</t>
  </si>
  <si>
    <t>D4</t>
  </si>
  <si>
    <t>Ingestion</t>
  </si>
  <si>
    <t>Redis + worker riêng</t>
  </si>
  <si>
    <t>Không block API, có retry/backoff</t>
  </si>
  <si>
    <t>Thêm độ phức tạp deploy</t>
  </si>
  <si>
    <t>D5</t>
  </si>
  <si>
    <t>Embedding</t>
  </si>
  <si>
    <t>Ollama nomic-embed-text 768 mặc định; BYOK OpenAI tùy tenant</t>
  </si>
  <si>
    <t>Giảm chi phí mặc định, vẫn mở rộng</t>
  </si>
  <si>
    <t>Cần re-embed khi đổi dimension</t>
  </si>
  <si>
    <t>Sprint 5-6</t>
  </si>
  <si>
    <t>D6</t>
  </si>
  <si>
    <t>Lưu trữ</t>
  </si>
  <si>
    <t>MinIO S3-compatible, không dùng local FS</t>
  </si>
  <si>
    <t>Dễ deploy và backup</t>
  </si>
  <si>
    <t>Cần init bucket và quy ước key</t>
  </si>
  <si>
    <t>Sprint 1, 5</t>
  </si>
  <si>
    <t>D7</t>
  </si>
  <si>
    <t>Phân quyền tài nguyên (ReBAC)</t>
  </si>
  <si>
    <t>Zanzibar-style ReBAC native trên resource_acl (docs/5068.pdf); loại OPA/Rego + engine ngoài (OpenFGA/SpiceDB)</t>
  </si>
  <si>
    <t>Owner/editor/viewer + workspace-as-group + kế thừa đúng sweet-spot ReBAC; resource_acl đã là relation-tuple store; check chạy trong cùng RLS tx (không stale-ACL); không thêm service thứ 10</t>
  </si>
  <si>
    <t>Cần namespace config + bounded check; MVP chỉ Check API (không zookies/Leopard/Expand); thêm cache nếu fan-out lớn</t>
  </si>
  <si>
    <t>Ma trận rủi ro</t>
  </si>
  <si>
    <t>Xác suất</t>
  </si>
  <si>
    <t>Ảnh hưởng</t>
  </si>
  <si>
    <t>Điểm</t>
  </si>
  <si>
    <t>Phương án giảm thiểu</t>
  </si>
  <si>
    <t>Sprint liên quan</t>
  </si>
  <si>
    <t>Cập nhật mới nhất</t>
  </si>
  <si>
    <t>R1</t>
  </si>
  <si>
    <t>Keycloak self-host tăng việc vận hành auth trong lịch 2 tuần</t>
  </si>
  <si>
    <t>Cao</t>
  </si>
  <si>
    <t>Dùng 1 realm, 1 client, OIDC chuẩn; provision user on first login; giữ tenant/role/ACL trong DB</t>
  </si>
  <si>
    <t>Mở</t>
  </si>
  <si>
    <t>1, 2, 9</t>
  </si>
  <si>
    <t>R2</t>
  </si>
  <si>
    <t>Redis + worker làm tăng độ phức tạp deploy</t>
  </si>
  <si>
    <t>Trung bình</t>
  </si>
  <si>
    <t>Healthcheck rõ, retry/backoff, README smoke test docker</t>
  </si>
  <si>
    <t>1, 5, 10</t>
  </si>
  <si>
    <t>R3</t>
  </si>
  <si>
    <t>Collection-per-tenant có thể chạm giới hạn khi &gt;10k tenant/node</t>
  </si>
  <si>
    <t>Thấp</t>
  </si>
  <si>
    <t>Ghi rõ ngưỡng trong README; sharding cluster nằm ngoài MVP</t>
  </si>
  <si>
    <t>Chấp nhận</t>
  </si>
  <si>
    <t>4, 10</t>
  </si>
  <si>
    <t>R4</t>
  </si>
  <si>
    <t>Plan lớn trong 2 tuần, dễ mất nhịp TDD hoặc commit gộp</t>
  </si>
  <si>
    <t>Chạy theo sprint/task, commit riêng, dùng dashboard để khóa tiến độ và cắt scope nếu cần</t>
  </si>
  <si>
    <t>Tất cả</t>
  </si>
  <si>
    <t>R5</t>
  </si>
  <si>
    <t>Sai context tenant dẫn tới rò rỉ dữ liệu</t>
  </si>
  <si>
    <t>Negative test RLS, không bypass TenantContext, rà soát SQL có tenant_id</t>
  </si>
  <si>
    <t>2, 3, 10</t>
  </si>
  <si>
    <t>R6</t>
  </si>
  <si>
    <t>BYOK embedding đổi dimension làm lệch dữ liệu Qdrant</t>
  </si>
  <si>
    <t>Đánh dấu cần re-embed document khi đổi provider/dimension</t>
  </si>
  <si>
    <t>Đang xử lý</t>
  </si>
  <si>
    <t>5, 6</t>
  </si>
  <si>
    <t>R7</t>
  </si>
  <si>
    <t>OCR PDF không ổn định trên tài liệu scan</t>
  </si>
  <si>
    <t>Timeout, fallback rõ, sample PDF test, log parser stage</t>
  </si>
  <si>
    <t>R8</t>
  </si>
  <si>
    <t>SSE DeepSeek stream/parser lỗi citation</t>
  </si>
  <si>
    <t>Port parser cũ kèm test token/citation</t>
  </si>
  <si>
    <t>6, 7</t>
  </si>
  <si>
    <t>R9</t>
  </si>
  <si>
    <t>Đệ quy/fan-out của check ReBAC gây chậm khi nhiều grant hoặc nhóm lồng</t>
  </si>
  <si>
    <t>MA TRẬN RACI</t>
  </si>
  <si>
    <t>Phân vai theo team 3 người. R=Thực hiện, A=Chịu trách nhiệm cuối, C=Tư vấn, I=Cần biết.</t>
  </si>
  <si>
    <t>Đầu ra kiểm soát</t>
  </si>
  <si>
    <t>Sheet theo dõi</t>
  </si>
  <si>
    <t>Hạ tầng &amp; Monorepo</t>
  </si>
  <si>
    <t>I</t>
  </si>
  <si>
    <t>A/R</t>
  </si>
  <si>
    <t>C</t>
  </si>
  <si>
    <t>docker-compose, .env, healthcheck</t>
  </si>
  <si>
    <t>Xác thực &amp; Tenant</t>
  </si>
  <si>
    <t>TenantContext, RLS middleware</t>
  </si>
  <si>
    <t>Schema &amp; RLS</t>
  </si>
  <si>
    <t>Migrations + negative tests</t>
  </si>
  <si>
    <t>Collection lifecycle + search</t>
  </si>
  <si>
    <t>PDF/chunk/embed/graph/save</t>
  </si>
  <si>
    <t>Retrieval, prompt, citation, SSE</t>
  </si>
  <si>
    <t>Tenant-scoped CRUD + ACL</t>
  </si>
  <si>
    <t>ResourceBAC &amp; ACL</t>
  </si>
  <si>
    <t>check_permission, grants, audit, BYOK settings</t>
  </si>
  <si>
    <t>Layout, context, clients, mẫu component</t>
  </si>
  <si>
    <t>Gia cố &amp; nghiệm thu</t>
  </si>
  <si>
    <t>A</t>
  </si>
  <si>
    <t>R</t>
  </si>
  <si>
    <t>E2E, pentest, smoke, backup</t>
  </si>
  <si>
    <t>Rủi ro &amp; Quyết định</t>
  </si>
  <si>
    <t>RESOURCEBAC</t>
  </si>
  <si>
    <t>ReBAC kiểu Zanzibar (docs/5068.pdf) trên resource_acl như relation-tuple store. Ma trận dưới là tập quyền đề xuất; MVP hiện thực owner/editor/viewer (+ member = nhóm workspace).</t>
  </si>
  <si>
    <t>Ma trận quyền đề xuất</t>
  </si>
  <si>
    <t>Checklist rà soát T64-T68</t>
  </si>
  <si>
    <t>Vai trò/quyền</t>
  </si>
  <si>
    <t>Xem</t>
  </si>
  <si>
    <t>Bình luận</t>
  </si>
  <si>
    <t>Sửa</t>
  </si>
  <si>
    <t>Chia sẻ</t>
  </si>
  <si>
    <t>Xóa</t>
  </si>
  <si>
    <t>Mục</t>
  </si>
  <si>
    <t>Cần kiểm tra</t>
  </si>
  <si>
    <t>OWNER</t>
  </si>
  <si>
    <t>Có</t>
  </si>
  <si>
    <t>Tenant</t>
  </si>
  <si>
    <t>Mọi câu SQL có tenant_id hoặc chạy trong RLS context</t>
  </si>
  <si>
    <t>ADMIN</t>
  </si>
  <si>
    <t>Có điều kiện</t>
  </si>
  <si>
    <t>Owner luôn có quyền tối đa trong tài nguyên của mình</t>
  </si>
  <si>
    <t>EDITOR</t>
  </si>
  <si>
    <t>Không</t>
  </si>
  <si>
    <t>ACL</t>
  </si>
  <si>
    <t>Grant theo resource_type/resource_id + principal_type/principal_id (user|workspace)</t>
  </si>
  <si>
    <t>VIEWER</t>
  </si>
  <si>
    <t>Vai trò</t>
  </si>
  <si>
    <t>Quan hệ đồng tâm viewer ⊇ editor ⊇ owner + kế thừa workspace.member (userset rewrite)</t>
  </si>
  <si>
    <t>ACL trực tiếp</t>
  </si>
  <si>
    <t>Theo grant</t>
  </si>
  <si>
    <t>Không mặc định</t>
  </si>
  <si>
    <t>Audit</t>
  </si>
  <si>
    <t>Mọi thay đổi grant ghi audit_log</t>
  </si>
  <si>
    <t>SQL mẫu kiểm tra quyền</t>
  </si>
  <si>
    <t>-- Mẫu logic cho rbac/check.rs — Zanzibar-style check_relation(object#relation@user). Xem docs/5068.pdf.</t>
  </si>
  <si>
    <t>-- object = (resource_type:resource_id); relation = resource_acl.permission (owner|editor|viewer);</t>
  </si>
  <si>
    <t>-- subject principal_type ∈ {user, workspace}. RLS (SET LOCAL app.tenant_id) lo cô lập tenant.</t>
  </si>
  <si>
    <t>SELECT (</t>
  </si>
  <si>
    <t xml:space="preserve">  -- owner = cột owner của tài nguyên (documents.owner_id / chat_sessions.user_id)</t>
  </si>
  <si>
    <t xml:space="preserve">  EXISTS (SELECT 1 FROM documents d WHERE d.id = $resource_id AND d.owner_id = $user)</t>
  </si>
  <si>
    <t xml:space="preserve">  -- public share (chỉ documents)</t>
  </si>
  <si>
    <t xml:space="preserve">  OR EXISTS (SELECT 1 FROM documents d WHERE d.id = $resource_id AND d.visibility = 'shared')</t>
  </si>
  <si>
    <t xml:space="preserve">  -- grant trực tiếp (user) hoặc nhóm (workspace) trong resource_acl</t>
  </si>
  <si>
    <t xml:space="preserve">  OR EXISTS (SELECT 1 FROM resource_acl a</t>
  </si>
  <si>
    <t xml:space="preserve">      WHERE a.resource_type = $resource_type AND a.resource_id = $resource_id</t>
  </si>
  <si>
    <t xml:space="preserve">        AND a.permission IN ('owner','editor','viewer')</t>
  </si>
  <si>
    <t xml:space="preserve">        AND ( (a.principal_type = 'user' AND a.principal_id = $user)</t>
  </si>
  <si>
    <t xml:space="preserve">           OR (a.principal_type = 'workspace'</t>
  </si>
  <si>
    <t xml:space="preserve">               AND a.principal_id IN (SELECT workspace_id FROM workspace_members WHERE user_id = $user)) ) )</t>
  </si>
  <si>
    <t xml:space="preserve">  -- kế thừa: thành viên workspace cha của tài nguyên (tuple_to_userset)</t>
  </si>
  <si>
    <t xml:space="preserve">  OR EXISTS (SELECT 1 FROM documents d JOIN workspace_members wm ON wm.workspace_id = d.workspace_id</t>
  </si>
  <si>
    <t xml:space="preserve">             WHERE d.id = $resource_id AND wm.user_id = $user)</t>
  </si>
  <si>
    <t>) AS allowed;</t>
  </si>
  <si>
    <t>THIẾT LẬP &amp; DANH MỤC</t>
  </si>
  <si>
    <t>Các danh mục dùng cho dropdown và các giả định lịch trình. Có thể sửa để phù hợp đội dự án.</t>
  </si>
  <si>
    <t>Thông số</t>
  </si>
  <si>
    <t>TDD</t>
  </si>
  <si>
    <t>Mức rủi ro</t>
  </si>
  <si>
    <t>Ngày bắt đầu</t>
  </si>
  <si>
    <t>Ngày kết thúc</t>
  </si>
  <si>
    <t>Độ dài kế hoạch</t>
  </si>
  <si>
    <t>2 tuần / 14 ngày</t>
  </si>
  <si>
    <t>Số luồng sprint gốc</t>
  </si>
  <si>
    <t>Tạm dừng</t>
  </si>
  <si>
    <t>N/A</t>
  </si>
  <si>
    <t>Đội thực thi</t>
  </si>
  <si>
    <t>PM + Backend Dev + Frontend Dev</t>
  </si>
  <si>
    <t>Tóm tắt kiến trúc từ plan</t>
  </si>
  <si>
    <t>Tóm tắt</t>
  </si>
  <si>
    <t>Kho mã</t>
  </si>
  <si>
    <t>Monorepo mới gmrag2/ gồm backend Rust, worker, frontend Next.js, infra docker-compose self-host.</t>
  </si>
  <si>
    <t>Keycloak self-host làm AuthN/OIDC; tenants và tenant_members vẫn tự quản lý trong PostgreSQL.</t>
  </si>
  <si>
    <t>Ngữ cảnh tenant</t>
  </si>
  <si>
    <t>Mọi request có X-Tenant-Id; backend validate membership và set SET LOCAL app.tenant_id.</t>
  </si>
  <si>
    <t>Qdrant collection-per-tenant: chunks_{tenant_id} và graph_{tenant_id}.</t>
  </si>
  <si>
    <t>Hàng đợi</t>
  </si>
  <si>
    <t>Redis + worker riêng xử lý parse → chunk → embed → graph → save.</t>
  </si>
  <si>
    <t>Ollama nomic-embed-text 768 mặc định; BYOK OpenAI text-embedding-3-small khi cần.</t>
  </si>
  <si>
    <t>LLM</t>
  </si>
  <si>
    <t>DeepSeek deepseek-v4-flash mặc định; tenant override qua tenant_llm_config mã hóa AES-GCM.</t>
  </si>
  <si>
    <t>MinIO S3-compatible cho PDF upload, key tenant_id/workspace_id/document_id.pdf.</t>
  </si>
  <si>
    <t>Ngoài phạm vi</t>
  </si>
  <si>
    <t>Billing/Stripe, k8s production manifests, migration dữ liệu từ GMRAG cũ, frontend chi tiết.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</si>
</sst>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9">
    <font>
      <sz val="11"/>
      <color rgb="FF000000"/>
      <name val="Carlito"/>
      <scheme val="minor"/>
    </font>
    <font>
      <b/>
      <sz val="16"/>
      <color rgb="FFFFFFFF"/>
      <name val="Carlito"/>
    </font>
    <font>
      <i/>
      <sz val="11"/>
      <color rgb="FF134E4A"/>
      <name val="Carlito"/>
    </font>
    <font>
      <b/>
      <sz val="11"/>
      <color rgb="FFFFFFFF"/>
      <name val="Carlito"/>
    </font>
    <font>
      <sz val="11"/>
      <color rgb="FF111827"/>
      <name val="Carlito"/>
    </font>
    <font>
      <sz val="11"/>
      <color theme="1"/>
      <name val="Carlito"/>
      <scheme val="minor"/>
    </font>
    <font>
      <b/>
      <sz val="11"/>
      <color rgb="FF78350F"/>
      <name val="Carlito"/>
    </font>
    <font>
      <b/>
      <sz val="11"/>
      <color rgb="FF1D4ED8"/>
      <name val="Carlito"/>
    </font>
    <font>
      <sz val="11"/>
      <color rgb="FFE5E7EB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34E4A"/>
        <bgColor rgb="FF134E4A"/>
      </patternFill>
    </fill>
    <fill>
      <patternFill patternType="solid">
        <fgColor rgb="FFECFDF5"/>
        <bgColor rgb="FFECFDF5"/>
      </patternFill>
    </fill>
    <fill>
      <patternFill patternType="solid">
        <fgColor rgb="FF0F766E"/>
        <bgColor rgb="FF0F766E"/>
      </patternFill>
    </fill>
    <fill>
      <patternFill patternType="solid">
        <fgColor rgb="FF1D4ED8"/>
        <bgColor rgb="FF1D4ED8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EFF6FF"/>
        <bgColor rgb="FFEFF6FF"/>
      </patternFill>
    </fill>
    <fill>
      <patternFill patternType="solid">
        <fgColor rgb="FF0B1220"/>
        <bgColor rgb="FF0B1220"/>
      </patternFill>
    </fill>
  </fills>
  <borders count="20">
    <border>
      <left/>
      <right/>
      <top/>
      <bottom/>
      <diagonal/>
    </border>
    <border>
      <left/>
      <right/>
      <top style="thin">
        <color rgb="FF134E4A"/>
      </top>
      <bottom style="thin">
        <color rgb="FF134E4A"/>
      </bottom>
      <diagonal/>
    </border>
    <border>
      <left/>
      <right style="thin">
        <color rgb="FF134E4A"/>
      </right>
      <top style="thin">
        <color rgb="FF134E4A"/>
      </top>
      <bottom style="thin">
        <color rgb="FF134E4A"/>
      </bottom>
      <diagonal/>
    </border>
    <border>
      <left/>
      <right/>
      <top style="thin">
        <color rgb="FFCDEFE6"/>
      </top>
      <bottom style="thin">
        <color rgb="FFCDEFE6"/>
      </bottom>
      <diagonal/>
    </border>
    <border>
      <left/>
      <right style="thin">
        <color rgb="FFCDEFE6"/>
      </right>
      <top style="thin">
        <color rgb="FFCDEFE6"/>
      </top>
      <bottom style="thin">
        <color rgb="FFCDEFE6"/>
      </bottom>
      <diagonal/>
    </border>
    <border>
      <left style="thin">
        <color rgb="FFB7C6D0"/>
      </left>
      <right style="thin">
        <color rgb="FFB7C6D0"/>
      </right>
      <top style="thin">
        <color rgb="FFB7C6D0"/>
      </top>
      <bottom style="thin">
        <color rgb="FFB7C6D0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B7C6D0"/>
      </top>
      <bottom style="thin">
        <color rgb="FFB7C6D0"/>
      </bottom>
      <diagonal/>
    </border>
    <border>
      <left/>
      <right style="thin">
        <color rgb="FFB7C6D0"/>
      </right>
      <top style="thin">
        <color rgb="FFB7C6D0"/>
      </top>
      <bottom style="thin">
        <color rgb="FFB7C6D0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 style="thin">
        <color rgb="FFFBBF24"/>
      </top>
      <bottom style="thin">
        <color rgb="FFFBBF24"/>
      </bottom>
      <diagonal/>
    </border>
    <border>
      <left/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134E4A"/>
      </left>
      <right style="thin">
        <color rgb="FF134E4A"/>
      </right>
      <top style="thin">
        <color rgb="FF134E4A"/>
      </top>
      <bottom style="thin">
        <color rgb="FF134E4A"/>
      </bottom>
      <diagonal/>
    </border>
    <border>
      <left style="thin">
        <color rgb="FFCDEFE6"/>
      </left>
      <right style="thin">
        <color rgb="FFCDEFE6"/>
      </right>
      <top style="thin">
        <color rgb="FFCDEFE6"/>
      </top>
      <bottom style="thin">
        <color rgb="FFCDEFE6"/>
      </bottom>
      <diagonal/>
    </border>
    <border>
      <left style="thin">
        <color rgb="FFFBBF24"/>
      </left>
      <right style="thin">
        <color rgb="FFFBBF24"/>
      </right>
      <top style="thin">
        <color rgb="FFFBBF24"/>
      </top>
      <bottom style="thin">
        <color rgb="FFFBBF24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5" xfId="0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9" fontId="4" fillId="6" borderId="6" xfId="0" applyNumberFormat="1" applyFont="1" applyFill="1" applyBorder="1" applyAlignment="1">
      <alignment wrapText="1"/>
    </xf>
    <xf numFmtId="0" fontId="5" fillId="0" borderId="0" xfId="0" applyFont="1" applyAlignment="1">
      <alignment wrapText="1"/>
    </xf>
    <xf numFmtId="164" fontId="4" fillId="6" borderId="6" xfId="0" applyNumberFormat="1" applyFont="1" applyFill="1" applyBorder="1" applyAlignment="1">
      <alignment wrapText="1"/>
    </xf>
    <xf numFmtId="0" fontId="7" fillId="8" borderId="13" xfId="0" applyFont="1" applyFill="1" applyBorder="1" applyAlignment="1">
      <alignment wrapText="1"/>
    </xf>
    <xf numFmtId="1" fontId="4" fillId="6" borderId="6" xfId="0" applyNumberFormat="1" applyFont="1" applyFill="1" applyBorder="1" applyAlignment="1">
      <alignment wrapText="1"/>
    </xf>
    <xf numFmtId="0" fontId="8" fillId="9" borderId="19" xfId="0" applyFont="1" applyFill="1" applyBorder="1" applyAlignment="1">
      <alignment wrapText="1"/>
    </xf>
    <xf numFmtId="0" fontId="4" fillId="6" borderId="6" xfId="0" applyFont="1" applyFill="1" applyBorder="1" applyAlignment="1">
      <alignment wrapText="1"/>
    </xf>
    <xf numFmtId="0" fontId="0" fillId="0" borderId="9" xfId="0" applyBorder="1"/>
    <xf numFmtId="0" fontId="0" fillId="0" borderId="10" xfId="0" applyBorder="1"/>
    <xf numFmtId="0" fontId="2" fillId="3" borderId="17" xfId="0" applyFont="1" applyFill="1" applyBorder="1" applyAlignment="1">
      <alignment wrapText="1"/>
    </xf>
    <xf numFmtId="0" fontId="0" fillId="0" borderId="3" xfId="0" applyBorder="1"/>
    <xf numFmtId="0" fontId="0" fillId="0" borderId="4" xfId="0" applyBorder="1"/>
    <xf numFmtId="0" fontId="3" fillId="4" borderId="5" xfId="0" applyFont="1" applyFill="1" applyBorder="1" applyAlignment="1">
      <alignment wrapText="1"/>
    </xf>
    <xf numFmtId="0" fontId="0" fillId="0" borderId="7" xfId="0" applyBorder="1"/>
    <xf numFmtId="0" fontId="0" fillId="0" borderId="8" xfId="0" applyBorder="1"/>
    <xf numFmtId="0" fontId="1" fillId="2" borderId="16" xfId="0" applyFont="1" applyFill="1" applyBorder="1"/>
    <xf numFmtId="0" fontId="0" fillId="0" borderId="1" xfId="0" applyBorder="1"/>
    <xf numFmtId="0" fontId="0" fillId="0" borderId="2" xfId="0" applyBorder="1"/>
    <xf numFmtId="0" fontId="6" fillId="7" borderId="18" xfId="0" applyFont="1" applyFill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8" fillId="9" borderId="19" xfId="0" applyFont="1" applyFill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3" fillId="5" borderId="5" xfId="0" applyFont="1" applyFill="1" applyBorder="1" applyAlignment="1">
      <alignment wrapText="1"/>
    </xf>
    <xf numFmtId="0" fontId="4" fillId="6" borderId="6" xfId="0" applyFont="1" applyFill="1" applyBorder="1" applyAlignment="1">
      <alignment vertical="top" wrapText="1"/>
    </xf>
    <xf numFmtId="9" fontId="4" fillId="6" borderId="6" xfId="0" applyNumberFormat="1" applyFont="1" applyFill="1" applyBorder="1" applyAlignment="1">
      <alignment vertical="top" wrapText="1"/>
    </xf>
    <xf numFmtId="164" fontId="4" fillId="6" borderId="6" xfId="0" applyNumberFormat="1" applyFont="1" applyFill="1" applyBorder="1" applyAlignment="1">
      <alignment vertical="top" wrapText="1"/>
    </xf>
    <xf numFmtId="0" fontId="1" fillId="2" borderId="16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0" xfId="0" applyAlignment="1">
      <alignment vertical="top"/>
    </xf>
    <xf numFmtId="0" fontId="2" fillId="3" borderId="17" xfId="0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3" fillId="5" borderId="5" xfId="0" applyFont="1" applyFill="1" applyBorder="1" applyAlignment="1">
      <alignment vertical="top" wrapText="1"/>
    </xf>
    <xf numFmtId="0" fontId="7" fillId="8" borderId="13" xfId="0" applyFont="1" applyFill="1" applyBorder="1" applyAlignment="1">
      <alignment vertical="top" wrapText="1"/>
    </xf>
  </cellXfs>
  <cellStyles count="1">
    <cellStyle name="Normal" xfId="0" builtinId="0"/>
  </cellStyles>
  <dxfs count="70"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outline="0">
        <right style="thin">
          <color rgb="FFE5E7EB"/>
        </right>
      </border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  <border outline="0">
        <left style="thin">
          <color rgb="FFE5E7EB"/>
        </left>
      </border>
    </dxf>
    <dxf>
      <alignment horizontal="general" vertical="top" textRotation="0" indent="0" justifyLastLine="0" shrinkToFit="0" readingOrder="0"/>
      <border outline="0">
        <right style="thin">
          <color rgb="FFE5E7EB"/>
        </right>
      </border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D4ED8"/>
      </font>
      <fill>
        <patternFill patternType="solid">
          <fgColor rgb="FFEFF6FF"/>
          <bgColor rgb="FFEFF6FF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D4ED8"/>
      </font>
      <fill>
        <patternFill patternType="solid">
          <fgColor rgb="FFEFF6FF"/>
          <bgColor rgb="FFEFF6FF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ont>
        <b/>
        <color rgb="FF92400E"/>
      </font>
      <fill>
        <patternFill patternType="solid">
          <fgColor rgb="FFFEF3C7"/>
          <bgColor rgb="FFFEF3C7"/>
        </patternFill>
      </fill>
    </dxf>
    <dxf>
      <font>
        <b/>
        <color rgb="FF991B1B"/>
      </font>
      <fill>
        <patternFill patternType="solid">
          <fgColor rgb="FFFEE2E2"/>
          <bgColor rgb="FFFEE2E2"/>
        </patternFill>
      </fill>
    </dxf>
    <dxf>
      <font>
        <b/>
        <color rgb="FF1D4ED8"/>
      </font>
      <fill>
        <patternFill patternType="solid">
          <fgColor rgb="FFEFF6FF"/>
          <bgColor rgb="FFEFF6FF"/>
        </patternFill>
      </fill>
    </dxf>
    <dxf>
      <font>
        <b/>
        <color rgb="FF166534"/>
      </font>
      <fill>
        <patternFill patternType="solid">
          <fgColor rgb="FFDCFCE7"/>
          <bgColor rgb="FFDCFCE7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9" defaultPivotStyle="PivotStyleLight16">
    <tableStyle name="Kế hoạch Task-style" pivot="0" count="3" xr9:uid="{00000000-0011-0000-FFFF-FFFF00000000}">
      <tableStyleElement type="headerRow" dxfId="69"/>
      <tableStyleElement type="firstRowStripe" dxfId="68"/>
      <tableStyleElement type="secondRowStripe" dxfId="67"/>
    </tableStyle>
    <tableStyle name="Timeline 2 tuần-style" pivot="0" count="3" xr9:uid="{00000000-0011-0000-FFFF-FFFF01000000}">
      <tableStyleElement type="headerRow" dxfId="66"/>
      <tableStyleElement type="firstRowStripe" dxfId="65"/>
      <tableStyleElement type="secondRowStripe" dxfId="64"/>
    </tableStyle>
    <tableStyle name="RACI-style" pivot="0" count="3" xr9:uid="{00000000-0011-0000-FFFF-FFFF02000000}"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Số task theo sprint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Tổng task</c:v>
          </c:tx>
          <c:spPr>
            <a:solidFill>
              <a:srgbClr val="156082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'Tổng quan'!$F$5:$F$14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'Tổng quan'!$G$5:$G$14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43-45DB-9847-71AC6D1816FA}"/>
            </c:ext>
          </c:extLst>
        </c:ser>
        <c:ser>
          <c:idx val="1"/>
          <c:order val="1"/>
          <c:tx>
            <c:v>Hoàn thành</c:v>
          </c:tx>
          <c:spPr>
            <a:solidFill>
              <a:srgbClr val="E97132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cat>
            <c:numRef>
              <c:f>'Tổng quan'!$F$5:$F$14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'Tổng quan'!$H$5:$H$14</c:f>
              <c:numCache>
                <c:formatCode>General</c:formatCode>
                <c:ptCount val="10"/>
                <c:pt idx="0">
                  <c:v>8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  <c:pt idx="6">
                  <c:v>12</c:v>
                </c:pt>
                <c:pt idx="7">
                  <c:v>7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443-45DB-9847-71AC6D181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9563905"/>
        <c:axId val="368731344"/>
      </c:barChart>
      <c:catAx>
        <c:axId val="20495639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68731344"/>
        <c:crosses val="autoZero"/>
        <c:auto val="1"/>
        <c:lblAlgn val="ctr"/>
        <c:lblOffset val="100"/>
        <c:noMultiLvlLbl val="1"/>
      </c:catAx>
      <c:valAx>
        <c:axId val="368731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>None</a:t>
                </a:r>
                <a:endParaRPr lang="en-US"/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956390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4524375" cy="3352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5:T90" dataDxfId="30">
  <tableColumns count="20">
    <tableColumn id="1" xr3:uid="{00000000-0010-0000-0000-000001000000}" name="Mã" dataDxfId="48"/>
    <tableColumn id="2" xr3:uid="{00000000-0010-0000-0000-000002000000}" name="Sprint" dataDxfId="47"/>
    <tableColumn id="3" xr3:uid="{00000000-0010-0000-0000-000003000000}" name="Nhóm" dataDxfId="46"/>
    <tableColumn id="4" xr3:uid="{00000000-0010-0000-0000-000004000000}" name="Công việc" dataDxfId="45"/>
    <tableColumn id="5" xr3:uid="{00000000-0010-0000-0000-000005000000}" name="Mục tiêu/đầu ra" dataDxfId="44"/>
    <tableColumn id="6" xr3:uid="{00000000-0010-0000-0000-000006000000}" name="Khu vực chính" dataDxfId="43"/>
    <tableColumn id="7" xr3:uid="{00000000-0010-0000-0000-000007000000}" name="Loại việc" dataDxfId="42"/>
    <tableColumn id="8" xr3:uid="{00000000-0010-0000-0000-000008000000}" name="Ưu tiên" dataDxfId="41"/>
    <tableColumn id="9" xr3:uid="{00000000-0010-0000-0000-000009000000}" name="Phụ thuộc" dataDxfId="40"/>
    <tableColumn id="10" xr3:uid="{00000000-0010-0000-0000-00000A000000}" name="Chủ sở hữu" dataDxfId="39"/>
    <tableColumn id="11" xr3:uid="{00000000-0010-0000-0000-00000B000000}" name="Trạng thái" dataDxfId="38"/>
    <tableColumn id="12" xr3:uid="{00000000-0010-0000-0000-00000C000000}" name="% hoàn thành" dataDxfId="37"/>
    <tableColumn id="13" xr3:uid="{00000000-0010-0000-0000-00000D000000}" name="Bắt đầu" dataDxfId="36"/>
    <tableColumn id="14" xr3:uid="{00000000-0010-0000-0000-00000E000000}" name="Hạn hoàn thành" dataDxfId="35"/>
    <tableColumn id="15" xr3:uid="{00000000-0010-0000-0000-00000F000000}" name="Test đỏ" dataDxfId="34"/>
    <tableColumn id="16" xr3:uid="{00000000-0010-0000-0000-000010000000}" name="Triển khai" dataDxfId="33"/>
    <tableColumn id="17" xr3:uid="{00000000-0010-0000-0000-000011000000}" name="Test xanh" dataDxfId="32"/>
    <tableColumn id="18" xr3:uid="{00000000-0010-0000-0000-000012000000}" name="Commit" dataDxfId="31"/>
    <tableColumn id="19" xr3:uid="{00000000-0010-0000-0000-000013000000}" name="Kiểm thử/verify" dataDxfId="1"/>
    <tableColumn id="20" xr3:uid="{00000000-0010-0000-0000-000014000000}" name="Ghi chú" dataDxfId="0"/>
  </tableColumns>
  <tableStyleInfo name="Kế hoạch Tas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Y14" headerRowDxfId="7" dataDxfId="5" totalsRowDxfId="6">
  <tableColumns count="25">
    <tableColumn id="1" xr3:uid="{00000000-0010-0000-0100-000001000000}" name="Sprint gốc" dataDxfId="29"/>
    <tableColumn id="2" xr3:uid="{00000000-0010-0000-0100-000002000000}" name="Tên luồng" dataDxfId="28"/>
    <tableColumn id="3" xr3:uid="{00000000-0010-0000-0100-000003000000}" name="Nhóm" dataDxfId="27"/>
    <tableColumn id="4" xr3:uid="{00000000-0010-0000-0100-000004000000}" name="Số task" dataDxfId="26"/>
    <tableColumn id="5" xr3:uid="{00000000-0010-0000-0100-000005000000}" name="Hoàn thành" dataDxfId="25"/>
    <tableColumn id="6" xr3:uid="{00000000-0010-0000-0100-000006000000}" name="Đang làm" dataDxfId="24"/>
    <tableColumn id="7" xr3:uid="{00000000-0010-0000-0100-000007000000}" name="Rủi ro" dataDxfId="23"/>
    <tableColumn id="8" xr3:uid="{00000000-0010-0000-0100-000008000000}" name="% hoàn thành" dataDxfId="22"/>
    <tableColumn id="9" xr3:uid="{00000000-0010-0000-0100-000009000000}" name="Bắt đầu" dataDxfId="21"/>
    <tableColumn id="10" xr3:uid="{00000000-0010-0000-0100-00000A000000}" name="Kết thúc" dataDxfId="4"/>
    <tableColumn id="11" xr3:uid="{00000000-0010-0000-0100-00000B000000}" name="Đầu ra chính" dataDxfId="2"/>
    <tableColumn id="12" xr3:uid="{00000000-0010-0000-0100-00000C000000}" name="Ngày 1_x000a_17/06" dataDxfId="3"/>
    <tableColumn id="13" xr3:uid="{00000000-0010-0000-0100-00000D000000}" name="Ngày 2_x000a_18/06" dataDxfId="20"/>
    <tableColumn id="14" xr3:uid="{00000000-0010-0000-0100-00000E000000}" name="Ngày 3_x000a_19/06" dataDxfId="19"/>
    <tableColumn id="15" xr3:uid="{00000000-0010-0000-0100-00000F000000}" name="Ngày 4_x000a_20/06" dataDxfId="18"/>
    <tableColumn id="16" xr3:uid="{00000000-0010-0000-0100-000010000000}" name="Ngày 5_x000a_21/06" dataDxfId="17"/>
    <tableColumn id="17" xr3:uid="{00000000-0010-0000-0100-000011000000}" name="Ngày 6_x000a_22/06" dataDxfId="16"/>
    <tableColumn id="18" xr3:uid="{00000000-0010-0000-0100-000012000000}" name="Ngày 7_x000a_23/06" dataDxfId="15"/>
    <tableColumn id="19" xr3:uid="{00000000-0010-0000-0100-000013000000}" name="Ngày 8_x000a_24/06" dataDxfId="14"/>
    <tableColumn id="20" xr3:uid="{00000000-0010-0000-0100-000014000000}" name="Ngày 9_x000a_25/06" dataDxfId="13"/>
    <tableColumn id="21" xr3:uid="{00000000-0010-0000-0100-000015000000}" name="Ngày 10_x000a_26/06" dataDxfId="12"/>
    <tableColumn id="22" xr3:uid="{00000000-0010-0000-0100-000016000000}" name="Ngày 11_x000a_27/06" dataDxfId="11"/>
    <tableColumn id="23" xr3:uid="{00000000-0010-0000-0100-000017000000}" name="Ngày 12_x000a_28/06" dataDxfId="10"/>
    <tableColumn id="24" xr3:uid="{00000000-0010-0000-0100-000018000000}" name="Ngày 13_x000a_29/06" dataDxfId="9"/>
    <tableColumn id="25" xr3:uid="{00000000-0010-0000-0100-000019000000}" name="Ngày 14_x000a_30/06" dataDxfId="8"/>
  </tableColumns>
  <tableStyleInfo name="Timeline 2 tuầ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F14">
  <tableColumns count="6">
    <tableColumn id="1" xr3:uid="{00000000-0010-0000-0200-000001000000}" name="Hạng mục"/>
    <tableColumn id="2" xr3:uid="{00000000-0010-0000-0200-000002000000}" name="PM"/>
    <tableColumn id="3" xr3:uid="{00000000-0010-0000-0200-000003000000}" name="Backend Dev"/>
    <tableColumn id="4" xr3:uid="{00000000-0010-0000-0200-000004000000}" name="Frontend Dev"/>
    <tableColumn id="5" xr3:uid="{00000000-0010-0000-0200-000005000000}" name="Đầu ra kiểm soát"/>
    <tableColumn id="6" xr3:uid="{00000000-0010-0000-0200-000006000000}" name="Sheet theo dõi"/>
  </tableColumns>
  <tableStyleInfo name="RAC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showGridLines="0" topLeftCell="A4" workbookViewId="0">
      <selection activeCell="P20" sqref="P20"/>
    </sheetView>
  </sheetViews>
  <sheetFormatPr defaultColWidth="12.625" defaultRowHeight="15" customHeight="1"/>
  <cols>
    <col min="1" max="1" width="19.375" customWidth="1"/>
    <col min="2" max="2" width="28.75" customWidth="1"/>
    <col min="3" max="3" width="18.75" customWidth="1"/>
    <col min="4" max="4" width="14.375" customWidth="1"/>
    <col min="5" max="5" width="3" customWidth="1"/>
    <col min="6" max="6" width="7" customWidth="1"/>
    <col min="7" max="8" width="11.5" customWidth="1"/>
    <col min="9" max="9" width="2.75" customWidth="1"/>
    <col min="10" max="14" width="11.875" customWidth="1"/>
    <col min="15" max="26" width="8.625" customWidth="1"/>
  </cols>
  <sheetData>
    <row r="1" spans="1:14" ht="20.2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1"/>
    </row>
    <row r="2" spans="1:14" ht="14.25" customHeight="1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4" spans="1:14" ht="21" customHeight="1">
      <c r="A4" s="1" t="s">
        <v>2</v>
      </c>
      <c r="B4" s="1" t="s">
        <v>3</v>
      </c>
      <c r="F4" s="2" t="s">
        <v>4</v>
      </c>
      <c r="G4" s="2" t="s">
        <v>5</v>
      </c>
      <c r="H4" s="2" t="s">
        <v>6</v>
      </c>
    </row>
    <row r="5" spans="1:14" ht="21" customHeight="1">
      <c r="A5" s="3" t="s">
        <v>7</v>
      </c>
      <c r="B5" s="3">
        <f>COUNTA('Kế hoạch Task'!$A$6:$A$90)</f>
        <v>85</v>
      </c>
      <c r="F5" s="3">
        <f>'Timeline 2 tuần'!A5</f>
        <v>1</v>
      </c>
      <c r="G5" s="3">
        <f>'Timeline 2 tuần'!D5</f>
        <v>8</v>
      </c>
      <c r="H5" s="3">
        <f>'Timeline 2 tuần'!E5</f>
        <v>8</v>
      </c>
    </row>
    <row r="6" spans="1:14" ht="21" customHeight="1">
      <c r="A6" s="3" t="s">
        <v>6</v>
      </c>
      <c r="B6" s="3">
        <f>COUNTIF('Kế hoạch Task'!$K$6:$K$90,"Hoàn thành")</f>
        <v>72</v>
      </c>
      <c r="F6" s="3">
        <f>'Timeline 2 tuần'!A6</f>
        <v>2</v>
      </c>
      <c r="G6" s="3">
        <f>'Timeline 2 tuần'!D6</f>
        <v>10</v>
      </c>
      <c r="H6" s="3">
        <f>'Timeline 2 tuần'!E6</f>
        <v>10</v>
      </c>
    </row>
    <row r="7" spans="1:14" ht="21" customHeight="1">
      <c r="A7" s="3" t="s">
        <v>8</v>
      </c>
      <c r="B7" s="3">
        <f>COUNTIF('Kế hoạch Task'!$K$6:$K$90,"Đang làm")</f>
        <v>0</v>
      </c>
      <c r="F7" s="3">
        <f>'Timeline 2 tuần'!A7</f>
        <v>3</v>
      </c>
      <c r="G7" s="3">
        <f>'Timeline 2 tuần'!D7</f>
        <v>8</v>
      </c>
      <c r="H7" s="3">
        <f>'Timeline 2 tuần'!E7</f>
        <v>8</v>
      </c>
    </row>
    <row r="8" spans="1:14" ht="21" customHeight="1">
      <c r="A8" s="3" t="s">
        <v>9</v>
      </c>
      <c r="B8" s="3">
        <f>COUNTIF('Kế hoạch Task'!$K$6:$K$90,"Rủi ro")</f>
        <v>0</v>
      </c>
      <c r="F8" s="3">
        <f>'Timeline 2 tuần'!A8</f>
        <v>4</v>
      </c>
      <c r="G8" s="3">
        <f>'Timeline 2 tuần'!D8</f>
        <v>7</v>
      </c>
      <c r="H8" s="3">
        <f>'Timeline 2 tuần'!E8</f>
        <v>7</v>
      </c>
    </row>
    <row r="9" spans="1:14" ht="21" customHeight="1">
      <c r="A9" s="3" t="s">
        <v>10</v>
      </c>
      <c r="B9" s="3">
        <f>COUNTIF('Kế hoạch Task'!$K$6:$K$90,"Chưa bắt đầu")</f>
        <v>13</v>
      </c>
      <c r="F9" s="3">
        <f>'Timeline 2 tuần'!A9</f>
        <v>5</v>
      </c>
      <c r="G9" s="3">
        <f>'Timeline 2 tuần'!D9</f>
        <v>10</v>
      </c>
      <c r="H9" s="3">
        <f>'Timeline 2 tuần'!E9</f>
        <v>10</v>
      </c>
    </row>
    <row r="10" spans="1:14" ht="21" customHeight="1">
      <c r="A10" s="3" t="s">
        <v>11</v>
      </c>
      <c r="B10" s="4">
        <f>IF(B5=0,0,B6/B5)</f>
        <v>0.84705882352941175</v>
      </c>
      <c r="F10" s="3">
        <f>'Timeline 2 tuần'!A10</f>
        <v>6</v>
      </c>
      <c r="G10" s="3">
        <f>'Timeline 2 tuần'!D10</f>
        <v>8</v>
      </c>
      <c r="H10" s="3">
        <f>'Timeline 2 tuần'!E10</f>
        <v>8</v>
      </c>
    </row>
    <row r="11" spans="1:14" ht="21" customHeight="1">
      <c r="A11" s="3" t="s">
        <v>12</v>
      </c>
      <c r="B11" s="3" t="s">
        <v>13</v>
      </c>
      <c r="F11" s="3">
        <f>'Timeline 2 tuần'!A11</f>
        <v>7</v>
      </c>
      <c r="G11" s="3">
        <f>'Timeline 2 tuần'!D11</f>
        <v>12</v>
      </c>
      <c r="H11" s="3">
        <f>'Timeline 2 tuần'!E11</f>
        <v>12</v>
      </c>
    </row>
    <row r="12" spans="1:14" ht="21" customHeight="1">
      <c r="F12" s="3">
        <f>'Timeline 2 tuần'!A12</f>
        <v>8</v>
      </c>
      <c r="G12" s="3">
        <f>'Timeline 2 tuần'!D12</f>
        <v>7</v>
      </c>
      <c r="H12" s="3">
        <f>'Timeline 2 tuần'!E12</f>
        <v>7</v>
      </c>
    </row>
    <row r="13" spans="1:14" ht="21" customHeight="1">
      <c r="A13" s="16" t="s">
        <v>14</v>
      </c>
      <c r="B13" s="17"/>
      <c r="C13" s="17"/>
      <c r="D13" s="18"/>
      <c r="F13" s="3">
        <f>'Timeline 2 tuần'!A13</f>
        <v>9</v>
      </c>
      <c r="G13" s="3">
        <f>'Timeline 2 tuần'!D13</f>
        <v>9</v>
      </c>
      <c r="H13" s="3">
        <f>'Timeline 2 tuần'!E13</f>
        <v>1</v>
      </c>
    </row>
    <row r="14" spans="1:14" ht="27" customHeight="1">
      <c r="A14" s="2" t="s">
        <v>15</v>
      </c>
      <c r="B14" s="2" t="s">
        <v>16</v>
      </c>
      <c r="C14" s="2" t="s">
        <v>17</v>
      </c>
      <c r="D14" s="2" t="s">
        <v>18</v>
      </c>
      <c r="F14" s="3">
        <f>'Timeline 2 tuần'!A14</f>
        <v>10</v>
      </c>
      <c r="G14" s="3">
        <f>'Timeline 2 tuần'!D14</f>
        <v>6</v>
      </c>
      <c r="H14" s="3">
        <f>'Timeline 2 tuần'!E14</f>
        <v>1</v>
      </c>
    </row>
    <row r="15" spans="1:14" ht="27" customHeight="1">
      <c r="A15" s="3" t="s">
        <v>19</v>
      </c>
      <c r="B15" s="3" t="s">
        <v>20</v>
      </c>
      <c r="C15" s="3" t="s">
        <v>21</v>
      </c>
      <c r="D15" s="3" t="s">
        <v>22</v>
      </c>
    </row>
    <row r="16" spans="1:14" ht="27" customHeight="1">
      <c r="A16" s="3" t="s">
        <v>23</v>
      </c>
      <c r="B16" s="3" t="s">
        <v>24</v>
      </c>
      <c r="C16" s="3" t="s">
        <v>21</v>
      </c>
      <c r="D16" s="3" t="s">
        <v>25</v>
      </c>
    </row>
    <row r="17" spans="1:14" ht="27" customHeight="1">
      <c r="A17" s="3" t="s">
        <v>26</v>
      </c>
      <c r="B17" s="3" t="s">
        <v>27</v>
      </c>
      <c r="C17" s="3" t="s">
        <v>21</v>
      </c>
      <c r="D17" s="3" t="s">
        <v>28</v>
      </c>
      <c r="F17" s="16" t="s">
        <v>29</v>
      </c>
      <c r="G17" s="17"/>
      <c r="H17" s="17"/>
      <c r="I17" s="17"/>
      <c r="J17" s="17"/>
      <c r="K17" s="17"/>
      <c r="L17" s="17"/>
      <c r="M17" s="17"/>
      <c r="N17" s="18"/>
    </row>
    <row r="18" spans="1:14" ht="28.5" customHeight="1">
      <c r="A18" s="3" t="s">
        <v>30</v>
      </c>
      <c r="B18" s="3" t="s">
        <v>31</v>
      </c>
      <c r="C18" s="3" t="s">
        <v>21</v>
      </c>
      <c r="D18" s="3" t="s">
        <v>32</v>
      </c>
      <c r="F18" s="3" t="s">
        <v>33</v>
      </c>
      <c r="G18" s="10" t="s">
        <v>34</v>
      </c>
      <c r="H18" s="11"/>
      <c r="I18" s="11"/>
      <c r="J18" s="11"/>
      <c r="K18" s="11"/>
      <c r="L18" s="11"/>
      <c r="M18" s="11"/>
      <c r="N18" s="12"/>
    </row>
    <row r="19" spans="1:14" ht="28.5" customHeight="1">
      <c r="A19" s="3" t="s">
        <v>35</v>
      </c>
      <c r="B19" s="3" t="s">
        <v>36</v>
      </c>
      <c r="C19" s="3" t="s">
        <v>21</v>
      </c>
      <c r="D19" s="3" t="s">
        <v>37</v>
      </c>
      <c r="F19" s="3" t="s">
        <v>38</v>
      </c>
      <c r="G19" s="10" t="s">
        <v>39</v>
      </c>
      <c r="H19" s="11"/>
      <c r="I19" s="11"/>
      <c r="J19" s="11"/>
      <c r="K19" s="11"/>
      <c r="L19" s="11"/>
      <c r="M19" s="11"/>
      <c r="N19" s="12"/>
    </row>
    <row r="20" spans="1:14" ht="28.5" customHeight="1">
      <c r="A20" s="3" t="s">
        <v>40</v>
      </c>
      <c r="B20" s="3" t="s">
        <v>41</v>
      </c>
      <c r="C20" s="3" t="s">
        <v>21</v>
      </c>
      <c r="D20" s="3" t="s">
        <v>42</v>
      </c>
      <c r="F20" s="3" t="s">
        <v>43</v>
      </c>
      <c r="G20" s="10" t="s">
        <v>44</v>
      </c>
      <c r="H20" s="11"/>
      <c r="I20" s="11"/>
      <c r="J20" s="11"/>
      <c r="K20" s="11"/>
      <c r="L20" s="11"/>
      <c r="M20" s="11"/>
      <c r="N20" s="12"/>
    </row>
    <row r="21" spans="1:14" ht="28.5" customHeight="1">
      <c r="A21" s="3" t="s">
        <v>45</v>
      </c>
      <c r="B21" s="3" t="s">
        <v>46</v>
      </c>
      <c r="C21" s="3" t="s">
        <v>21</v>
      </c>
      <c r="D21" s="3" t="s">
        <v>47</v>
      </c>
      <c r="F21" s="3" t="s">
        <v>48</v>
      </c>
      <c r="G21" s="10" t="s">
        <v>49</v>
      </c>
      <c r="H21" s="11"/>
      <c r="I21" s="11"/>
      <c r="J21" s="11"/>
      <c r="K21" s="11"/>
      <c r="L21" s="11"/>
      <c r="M21" s="11"/>
      <c r="N21" s="12"/>
    </row>
    <row r="22" spans="1:14" ht="28.5" customHeight="1">
      <c r="A22" s="3" t="s">
        <v>50</v>
      </c>
      <c r="B22" s="3" t="s">
        <v>51</v>
      </c>
      <c r="C22" s="3" t="s">
        <v>21</v>
      </c>
      <c r="D22" s="3" t="s">
        <v>52</v>
      </c>
      <c r="F22" s="3" t="s">
        <v>53</v>
      </c>
      <c r="G22" s="10" t="s">
        <v>54</v>
      </c>
      <c r="H22" s="11"/>
      <c r="I22" s="11"/>
      <c r="J22" s="11"/>
      <c r="K22" s="11"/>
      <c r="L22" s="11"/>
      <c r="M22" s="11"/>
      <c r="N22" s="12"/>
    </row>
    <row r="23" spans="1:14" ht="28.5" customHeight="1">
      <c r="A23" s="3" t="s">
        <v>55</v>
      </c>
      <c r="B23" s="3" t="s">
        <v>56</v>
      </c>
      <c r="C23" s="3" t="s">
        <v>57</v>
      </c>
      <c r="D23" s="3" t="s">
        <v>58</v>
      </c>
      <c r="F23" s="3" t="s">
        <v>59</v>
      </c>
      <c r="G23" s="10" t="s">
        <v>60</v>
      </c>
      <c r="H23" s="11"/>
      <c r="I23" s="11"/>
      <c r="J23" s="11"/>
      <c r="K23" s="11"/>
      <c r="L23" s="11"/>
      <c r="M23" s="11"/>
      <c r="N23" s="12"/>
    </row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G22:N22"/>
    <mergeCell ref="G23:N23"/>
    <mergeCell ref="A1:N1"/>
    <mergeCell ref="G18:N18"/>
    <mergeCell ref="G20:N20"/>
    <mergeCell ref="G21:N21"/>
    <mergeCell ref="A2:N2"/>
    <mergeCell ref="G19:N19"/>
    <mergeCell ref="A13:D13"/>
    <mergeCell ref="F17:N17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abSelected="1" topLeftCell="F1" zoomScale="85" zoomScaleNormal="85" workbookViewId="0">
      <selection activeCell="T44" sqref="T44"/>
    </sheetView>
  </sheetViews>
  <sheetFormatPr defaultColWidth="12.625" defaultRowHeight="15" customHeight="1"/>
  <cols>
    <col min="1" max="2" width="7.25" customWidth="1"/>
    <col min="3" max="3" width="16.875" customWidth="1"/>
    <col min="4" max="4" width="40" customWidth="1"/>
    <col min="5" max="5" width="45" customWidth="1"/>
    <col min="6" max="6" width="30" customWidth="1"/>
    <col min="7" max="7" width="15.625" customWidth="1"/>
    <col min="8" max="8" width="16.25" customWidth="1"/>
    <col min="9" max="9" width="13.125" customWidth="1"/>
    <col min="10" max="11" width="15" customWidth="1"/>
    <col min="12" max="12" width="13.875" customWidth="1"/>
    <col min="13" max="13" width="11.5" customWidth="1"/>
    <col min="14" max="14" width="14.875" customWidth="1"/>
    <col min="15" max="15" width="11.375" customWidth="1"/>
    <col min="16" max="17" width="10.25" customWidth="1"/>
    <col min="18" max="18" width="10.5" customWidth="1"/>
    <col min="19" max="19" width="27.5" customWidth="1"/>
    <col min="20" max="20" width="56.875" customWidth="1"/>
    <col min="21" max="26" width="8.625" customWidth="1"/>
  </cols>
  <sheetData>
    <row r="1" spans="1:20" ht="22.5" customHeight="1">
      <c r="A1" s="19" t="s">
        <v>61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/>
    </row>
    <row r="2" spans="1:20" ht="22.5" customHeight="1">
      <c r="A2" s="13" t="s">
        <v>62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1:20" ht="14.25" customHeight="1">
      <c r="T3" s="5"/>
    </row>
    <row r="4" spans="1:20" ht="25.5" customHeight="1">
      <c r="A4" s="22" t="s">
        <v>63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4"/>
    </row>
    <row r="5" spans="1:20" ht="25.5" customHeight="1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80</v>
      </c>
      <c r="R5" s="1" t="s">
        <v>81</v>
      </c>
      <c r="S5" s="1" t="s">
        <v>82</v>
      </c>
      <c r="T5" s="1" t="s">
        <v>18</v>
      </c>
    </row>
    <row r="6" spans="1:20" ht="31.5" customHeight="1">
      <c r="A6" s="3" t="s">
        <v>83</v>
      </c>
      <c r="B6" s="3">
        <v>1</v>
      </c>
      <c r="C6" s="3" t="s">
        <v>19</v>
      </c>
      <c r="D6" s="3" t="s">
        <v>84</v>
      </c>
      <c r="E6" s="3" t="s">
        <v>85</v>
      </c>
      <c r="F6" s="3" t="s">
        <v>86</v>
      </c>
      <c r="G6" s="3" t="s">
        <v>19</v>
      </c>
      <c r="H6" s="3" t="s">
        <v>87</v>
      </c>
      <c r="I6" s="3"/>
      <c r="J6" s="3" t="s">
        <v>88</v>
      </c>
      <c r="K6" s="3" t="s">
        <v>6</v>
      </c>
      <c r="L6" s="4">
        <f t="shared" ref="L6:L37" si="0">IF(K6="Hoàn thành",1,IF(K6="Đang làm",0.5,IF(K6="Rủi ro",0.25,IF(K6="Tạm dừng",0.1,0))))</f>
        <v>1</v>
      </c>
      <c r="M6" s="6">
        <v>46190</v>
      </c>
      <c r="N6" s="6">
        <v>46191</v>
      </c>
      <c r="O6" s="3" t="s">
        <v>89</v>
      </c>
      <c r="P6" s="3" t="s">
        <v>89</v>
      </c>
      <c r="Q6" s="3" t="s">
        <v>89</v>
      </c>
      <c r="R6" s="3" t="s">
        <v>89</v>
      </c>
      <c r="S6" s="3" t="s">
        <v>90</v>
      </c>
      <c r="T6" s="29"/>
    </row>
    <row r="7" spans="1:20" ht="31.5" customHeight="1">
      <c r="A7" s="3" t="s">
        <v>91</v>
      </c>
      <c r="B7" s="3">
        <v>1</v>
      </c>
      <c r="C7" s="3" t="s">
        <v>19</v>
      </c>
      <c r="D7" s="3" t="s">
        <v>92</v>
      </c>
      <c r="E7" s="3" t="s">
        <v>93</v>
      </c>
      <c r="F7" s="3" t="s">
        <v>94</v>
      </c>
      <c r="G7" s="3" t="s">
        <v>19</v>
      </c>
      <c r="H7" s="3" t="s">
        <v>87</v>
      </c>
      <c r="I7" s="3" t="s">
        <v>83</v>
      </c>
      <c r="J7" s="3" t="s">
        <v>88</v>
      </c>
      <c r="K7" s="3" t="s">
        <v>6</v>
      </c>
      <c r="L7" s="4">
        <f t="shared" si="0"/>
        <v>1</v>
      </c>
      <c r="M7" s="6">
        <v>46190</v>
      </c>
      <c r="N7" s="6">
        <v>46191</v>
      </c>
      <c r="O7" s="3" t="s">
        <v>89</v>
      </c>
      <c r="P7" s="3" t="s">
        <v>89</v>
      </c>
      <c r="Q7" s="3" t="s">
        <v>89</v>
      </c>
      <c r="R7" s="3" t="s">
        <v>89</v>
      </c>
      <c r="S7" s="3" t="s">
        <v>90</v>
      </c>
      <c r="T7" s="29"/>
    </row>
    <row r="8" spans="1:20" ht="31.5" customHeight="1">
      <c r="A8" s="3" t="s">
        <v>95</v>
      </c>
      <c r="B8" s="3">
        <v>1</v>
      </c>
      <c r="C8" s="3" t="s">
        <v>19</v>
      </c>
      <c r="D8" s="3" t="s">
        <v>96</v>
      </c>
      <c r="E8" s="3" t="s">
        <v>97</v>
      </c>
      <c r="F8" s="3" t="s">
        <v>98</v>
      </c>
      <c r="G8" s="3" t="s">
        <v>19</v>
      </c>
      <c r="H8" s="3" t="s">
        <v>99</v>
      </c>
      <c r="I8" s="3" t="s">
        <v>91</v>
      </c>
      <c r="J8" s="3" t="s">
        <v>88</v>
      </c>
      <c r="K8" s="3" t="s">
        <v>6</v>
      </c>
      <c r="L8" s="4">
        <f t="shared" si="0"/>
        <v>1</v>
      </c>
      <c r="M8" s="6">
        <v>46190</v>
      </c>
      <c r="N8" s="6">
        <v>46191</v>
      </c>
      <c r="O8" s="3" t="s">
        <v>89</v>
      </c>
      <c r="P8" s="3" t="s">
        <v>89</v>
      </c>
      <c r="Q8" s="3" t="s">
        <v>89</v>
      </c>
      <c r="R8" s="3" t="s">
        <v>89</v>
      </c>
      <c r="S8" s="3" t="s">
        <v>90</v>
      </c>
      <c r="T8" s="29"/>
    </row>
    <row r="9" spans="1:20" ht="31.5" customHeight="1">
      <c r="A9" s="3" t="s">
        <v>100</v>
      </c>
      <c r="B9" s="3">
        <v>1</v>
      </c>
      <c r="C9" s="3" t="s">
        <v>19</v>
      </c>
      <c r="D9" s="3" t="s">
        <v>101</v>
      </c>
      <c r="E9" s="3" t="s">
        <v>102</v>
      </c>
      <c r="F9" s="3" t="s">
        <v>103</v>
      </c>
      <c r="G9" s="3" t="s">
        <v>19</v>
      </c>
      <c r="H9" s="3" t="s">
        <v>87</v>
      </c>
      <c r="I9" s="3" t="s">
        <v>95</v>
      </c>
      <c r="J9" s="3" t="s">
        <v>88</v>
      </c>
      <c r="K9" s="3" t="s">
        <v>6</v>
      </c>
      <c r="L9" s="4">
        <f t="shared" si="0"/>
        <v>1</v>
      </c>
      <c r="M9" s="6">
        <v>46190</v>
      </c>
      <c r="N9" s="6">
        <v>46191</v>
      </c>
      <c r="O9" s="3" t="s">
        <v>89</v>
      </c>
      <c r="P9" s="3" t="s">
        <v>89</v>
      </c>
      <c r="Q9" s="3" t="s">
        <v>89</v>
      </c>
      <c r="R9" s="3" t="s">
        <v>89</v>
      </c>
      <c r="S9" s="3" t="s">
        <v>90</v>
      </c>
      <c r="T9" s="29"/>
    </row>
    <row r="10" spans="1:20" ht="31.5" customHeight="1">
      <c r="A10" s="3" t="s">
        <v>104</v>
      </c>
      <c r="B10" s="3">
        <v>1</v>
      </c>
      <c r="C10" s="3" t="s">
        <v>19</v>
      </c>
      <c r="D10" s="3" t="s">
        <v>105</v>
      </c>
      <c r="E10" s="3" t="s">
        <v>106</v>
      </c>
      <c r="F10" s="3" t="s">
        <v>86</v>
      </c>
      <c r="G10" s="3" t="s">
        <v>19</v>
      </c>
      <c r="H10" s="3" t="s">
        <v>87</v>
      </c>
      <c r="I10" s="3" t="s">
        <v>100</v>
      </c>
      <c r="J10" s="3" t="s">
        <v>88</v>
      </c>
      <c r="K10" s="3" t="s">
        <v>6</v>
      </c>
      <c r="L10" s="4">
        <f t="shared" si="0"/>
        <v>1</v>
      </c>
      <c r="M10" s="6">
        <v>46191</v>
      </c>
      <c r="N10" s="6">
        <v>46192</v>
      </c>
      <c r="O10" s="3" t="s">
        <v>89</v>
      </c>
      <c r="P10" s="3" t="s">
        <v>89</v>
      </c>
      <c r="Q10" s="3" t="s">
        <v>89</v>
      </c>
      <c r="R10" s="3" t="s">
        <v>89</v>
      </c>
      <c r="S10" s="3" t="s">
        <v>107</v>
      </c>
      <c r="T10" s="29"/>
    </row>
    <row r="11" spans="1:20" ht="31.5" customHeight="1">
      <c r="A11" s="3" t="s">
        <v>108</v>
      </c>
      <c r="B11" s="3">
        <v>1</v>
      </c>
      <c r="C11" s="3" t="s">
        <v>19</v>
      </c>
      <c r="D11" s="3" t="s">
        <v>109</v>
      </c>
      <c r="E11" s="3" t="s">
        <v>110</v>
      </c>
      <c r="F11" s="3" t="s">
        <v>86</v>
      </c>
      <c r="G11" s="3" t="s">
        <v>19</v>
      </c>
      <c r="H11" s="3" t="s">
        <v>99</v>
      </c>
      <c r="I11" s="3" t="s">
        <v>104</v>
      </c>
      <c r="J11" s="3" t="s">
        <v>88</v>
      </c>
      <c r="K11" s="3" t="s">
        <v>6</v>
      </c>
      <c r="L11" s="4">
        <f t="shared" si="0"/>
        <v>1</v>
      </c>
      <c r="M11" s="6">
        <v>46191</v>
      </c>
      <c r="N11" s="6">
        <v>46192</v>
      </c>
      <c r="O11" s="3" t="s">
        <v>89</v>
      </c>
      <c r="P11" s="3" t="s">
        <v>89</v>
      </c>
      <c r="Q11" s="3" t="s">
        <v>89</v>
      </c>
      <c r="R11" s="3" t="s">
        <v>89</v>
      </c>
      <c r="S11" s="3" t="s">
        <v>107</v>
      </c>
      <c r="T11" s="29"/>
    </row>
    <row r="12" spans="1:20" ht="31.5" customHeight="1">
      <c r="A12" s="3" t="s">
        <v>111</v>
      </c>
      <c r="B12" s="3">
        <v>1</v>
      </c>
      <c r="C12" s="3" t="s">
        <v>19</v>
      </c>
      <c r="D12" s="3" t="s">
        <v>112</v>
      </c>
      <c r="E12" s="3" t="s">
        <v>113</v>
      </c>
      <c r="F12" s="3" t="s">
        <v>86</v>
      </c>
      <c r="G12" s="3" t="s">
        <v>19</v>
      </c>
      <c r="H12" s="3" t="s">
        <v>99</v>
      </c>
      <c r="I12" s="3" t="s">
        <v>108</v>
      </c>
      <c r="J12" s="3" t="s">
        <v>88</v>
      </c>
      <c r="K12" s="3" t="s">
        <v>6</v>
      </c>
      <c r="L12" s="4">
        <f t="shared" si="0"/>
        <v>1</v>
      </c>
      <c r="M12" s="6">
        <v>46191</v>
      </c>
      <c r="N12" s="6">
        <v>46192</v>
      </c>
      <c r="O12" s="3" t="s">
        <v>89</v>
      </c>
      <c r="P12" s="3" t="s">
        <v>89</v>
      </c>
      <c r="Q12" s="3" t="s">
        <v>89</v>
      </c>
      <c r="R12" s="3" t="s">
        <v>89</v>
      </c>
      <c r="S12" s="3" t="s">
        <v>114</v>
      </c>
      <c r="T12" s="29"/>
    </row>
    <row r="13" spans="1:20" ht="31.5" customHeight="1">
      <c r="A13" s="3" t="s">
        <v>115</v>
      </c>
      <c r="B13" s="3">
        <v>1</v>
      </c>
      <c r="C13" s="3" t="s">
        <v>19</v>
      </c>
      <c r="D13" s="3" t="s">
        <v>116</v>
      </c>
      <c r="E13" s="3" t="s">
        <v>117</v>
      </c>
      <c r="F13" s="3" t="s">
        <v>86</v>
      </c>
      <c r="G13" s="3" t="s">
        <v>19</v>
      </c>
      <c r="H13" s="3" t="s">
        <v>118</v>
      </c>
      <c r="I13" s="3" t="s">
        <v>111</v>
      </c>
      <c r="J13" s="3" t="s">
        <v>119</v>
      </c>
      <c r="K13" s="3" t="s">
        <v>6</v>
      </c>
      <c r="L13" s="4">
        <f t="shared" si="0"/>
        <v>1</v>
      </c>
      <c r="M13" s="6">
        <v>46191</v>
      </c>
      <c r="N13" s="6">
        <v>46192</v>
      </c>
      <c r="O13" s="3" t="s">
        <v>89</v>
      </c>
      <c r="P13" s="3" t="s">
        <v>89</v>
      </c>
      <c r="Q13" s="3" t="s">
        <v>89</v>
      </c>
      <c r="R13" s="3" t="s">
        <v>89</v>
      </c>
      <c r="S13" s="3" t="s">
        <v>120</v>
      </c>
      <c r="T13" s="29"/>
    </row>
    <row r="14" spans="1:20" ht="31.5" customHeight="1">
      <c r="A14" s="3" t="s">
        <v>121</v>
      </c>
      <c r="B14" s="3">
        <v>2</v>
      </c>
      <c r="C14" s="3" t="s">
        <v>122</v>
      </c>
      <c r="D14" s="3" t="s">
        <v>123</v>
      </c>
      <c r="E14" s="3" t="s">
        <v>124</v>
      </c>
      <c r="F14" s="3" t="s">
        <v>125</v>
      </c>
      <c r="G14" s="3" t="s">
        <v>126</v>
      </c>
      <c r="H14" s="3" t="s">
        <v>87</v>
      </c>
      <c r="I14" s="3" t="s">
        <v>127</v>
      </c>
      <c r="J14" s="3" t="s">
        <v>88</v>
      </c>
      <c r="K14" s="3" t="s">
        <v>6</v>
      </c>
      <c r="L14" s="4">
        <f t="shared" si="0"/>
        <v>1</v>
      </c>
      <c r="M14" s="6">
        <v>46191</v>
      </c>
      <c r="N14" s="6">
        <v>46192</v>
      </c>
      <c r="O14" s="3" t="s">
        <v>89</v>
      </c>
      <c r="P14" s="3" t="s">
        <v>89</v>
      </c>
      <c r="Q14" s="3" t="s">
        <v>89</v>
      </c>
      <c r="R14" s="3" t="s">
        <v>89</v>
      </c>
      <c r="S14" s="3" t="s">
        <v>128</v>
      </c>
      <c r="T14" s="29"/>
    </row>
    <row r="15" spans="1:20" ht="31.5" customHeight="1">
      <c r="A15" s="3" t="s">
        <v>129</v>
      </c>
      <c r="B15" s="3">
        <v>2</v>
      </c>
      <c r="C15" s="3" t="s">
        <v>122</v>
      </c>
      <c r="D15" s="3" t="s">
        <v>130</v>
      </c>
      <c r="E15" s="3" t="s">
        <v>131</v>
      </c>
      <c r="F15" s="3" t="s">
        <v>132</v>
      </c>
      <c r="G15" s="3" t="s">
        <v>133</v>
      </c>
      <c r="H15" s="3" t="s">
        <v>99</v>
      </c>
      <c r="I15" s="3" t="s">
        <v>121</v>
      </c>
      <c r="J15" s="3" t="s">
        <v>88</v>
      </c>
      <c r="K15" s="3" t="s">
        <v>6</v>
      </c>
      <c r="L15" s="4">
        <f t="shared" si="0"/>
        <v>1</v>
      </c>
      <c r="M15" s="6">
        <v>46191</v>
      </c>
      <c r="N15" s="6">
        <v>46192</v>
      </c>
      <c r="O15" s="3" t="s">
        <v>89</v>
      </c>
      <c r="P15" s="3" t="s">
        <v>89</v>
      </c>
      <c r="Q15" s="3" t="s">
        <v>89</v>
      </c>
      <c r="R15" s="3" t="s">
        <v>89</v>
      </c>
      <c r="S15" s="3" t="s">
        <v>128</v>
      </c>
      <c r="T15" s="29"/>
    </row>
    <row r="16" spans="1:20" ht="31.5" customHeight="1">
      <c r="A16" s="3" t="s">
        <v>134</v>
      </c>
      <c r="B16" s="3">
        <v>2</v>
      </c>
      <c r="C16" s="3" t="s">
        <v>122</v>
      </c>
      <c r="D16" s="3" t="s">
        <v>135</v>
      </c>
      <c r="E16" s="3" t="s">
        <v>136</v>
      </c>
      <c r="F16" s="3" t="s">
        <v>137</v>
      </c>
      <c r="G16" s="3" t="s">
        <v>133</v>
      </c>
      <c r="H16" s="3" t="s">
        <v>99</v>
      </c>
      <c r="I16" s="3" t="s">
        <v>129</v>
      </c>
      <c r="J16" s="3" t="s">
        <v>88</v>
      </c>
      <c r="K16" s="3" t="s">
        <v>6</v>
      </c>
      <c r="L16" s="4">
        <f t="shared" si="0"/>
        <v>1</v>
      </c>
      <c r="M16" s="6">
        <v>46191</v>
      </c>
      <c r="N16" s="6">
        <v>46192</v>
      </c>
      <c r="O16" s="3" t="s">
        <v>89</v>
      </c>
      <c r="P16" s="3" t="s">
        <v>89</v>
      </c>
      <c r="Q16" s="3" t="s">
        <v>89</v>
      </c>
      <c r="R16" s="3" t="s">
        <v>89</v>
      </c>
      <c r="S16" s="3" t="s">
        <v>128</v>
      </c>
      <c r="T16" s="29"/>
    </row>
    <row r="17" spans="1:20" ht="31.5" customHeight="1">
      <c r="A17" s="3" t="s">
        <v>138</v>
      </c>
      <c r="B17" s="3">
        <v>2</v>
      </c>
      <c r="C17" s="3" t="s">
        <v>122</v>
      </c>
      <c r="D17" s="3" t="s">
        <v>139</v>
      </c>
      <c r="E17" s="3" t="s">
        <v>140</v>
      </c>
      <c r="F17" s="3" t="s">
        <v>125</v>
      </c>
      <c r="G17" s="3" t="s">
        <v>141</v>
      </c>
      <c r="H17" s="3" t="s">
        <v>87</v>
      </c>
      <c r="I17" s="3" t="s">
        <v>134</v>
      </c>
      <c r="J17" s="3" t="s">
        <v>88</v>
      </c>
      <c r="K17" s="3" t="s">
        <v>6</v>
      </c>
      <c r="L17" s="4">
        <f t="shared" si="0"/>
        <v>1</v>
      </c>
      <c r="M17" s="6">
        <v>46191</v>
      </c>
      <c r="N17" s="6">
        <v>46192</v>
      </c>
      <c r="O17" s="3" t="s">
        <v>89</v>
      </c>
      <c r="P17" s="3" t="s">
        <v>89</v>
      </c>
      <c r="Q17" s="3" t="s">
        <v>89</v>
      </c>
      <c r="R17" s="3" t="s">
        <v>89</v>
      </c>
      <c r="S17" s="3" t="s">
        <v>128</v>
      </c>
      <c r="T17" s="29"/>
    </row>
    <row r="18" spans="1:20" ht="31.5" customHeight="1">
      <c r="A18" s="3" t="s">
        <v>142</v>
      </c>
      <c r="B18" s="3">
        <v>2</v>
      </c>
      <c r="C18" s="3" t="s">
        <v>122</v>
      </c>
      <c r="D18" s="3" t="s">
        <v>143</v>
      </c>
      <c r="E18" s="3" t="s">
        <v>144</v>
      </c>
      <c r="F18" s="3" t="s">
        <v>145</v>
      </c>
      <c r="G18" s="3" t="s">
        <v>133</v>
      </c>
      <c r="H18" s="3" t="s">
        <v>87</v>
      </c>
      <c r="I18" s="3" t="s">
        <v>138</v>
      </c>
      <c r="J18" s="3" t="s">
        <v>88</v>
      </c>
      <c r="K18" s="3" t="s">
        <v>6</v>
      </c>
      <c r="L18" s="4">
        <f t="shared" si="0"/>
        <v>1</v>
      </c>
      <c r="M18" s="6">
        <v>46192</v>
      </c>
      <c r="N18" s="6">
        <v>46193</v>
      </c>
      <c r="O18" s="3" t="s">
        <v>89</v>
      </c>
      <c r="P18" s="3" t="s">
        <v>89</v>
      </c>
      <c r="Q18" s="3" t="s">
        <v>89</v>
      </c>
      <c r="R18" s="3" t="s">
        <v>89</v>
      </c>
      <c r="S18" s="3" t="s">
        <v>128</v>
      </c>
      <c r="T18" s="29"/>
    </row>
    <row r="19" spans="1:20" ht="31.5" customHeight="1">
      <c r="A19" s="3" t="s">
        <v>146</v>
      </c>
      <c r="B19" s="3">
        <v>2</v>
      </c>
      <c r="C19" s="3" t="s">
        <v>122</v>
      </c>
      <c r="D19" s="3" t="s">
        <v>147</v>
      </c>
      <c r="E19" s="3" t="s">
        <v>148</v>
      </c>
      <c r="F19" s="3" t="s">
        <v>149</v>
      </c>
      <c r="G19" s="3" t="s">
        <v>141</v>
      </c>
      <c r="H19" s="3" t="s">
        <v>87</v>
      </c>
      <c r="I19" s="3" t="s">
        <v>142</v>
      </c>
      <c r="J19" s="3" t="s">
        <v>88</v>
      </c>
      <c r="K19" s="3" t="s">
        <v>6</v>
      </c>
      <c r="L19" s="4">
        <f t="shared" si="0"/>
        <v>1</v>
      </c>
      <c r="M19" s="6">
        <v>46192</v>
      </c>
      <c r="N19" s="6">
        <v>46193</v>
      </c>
      <c r="O19" s="3" t="s">
        <v>89</v>
      </c>
      <c r="P19" s="3" t="s">
        <v>89</v>
      </c>
      <c r="Q19" s="3" t="s">
        <v>89</v>
      </c>
      <c r="R19" s="3" t="s">
        <v>89</v>
      </c>
      <c r="S19" s="3" t="s">
        <v>128</v>
      </c>
      <c r="T19" s="29"/>
    </row>
    <row r="20" spans="1:20" ht="31.5" customHeight="1">
      <c r="A20" s="3" t="s">
        <v>150</v>
      </c>
      <c r="B20" s="3">
        <v>2</v>
      </c>
      <c r="C20" s="3" t="s">
        <v>122</v>
      </c>
      <c r="D20" s="3" t="s">
        <v>151</v>
      </c>
      <c r="E20" s="3" t="s">
        <v>152</v>
      </c>
      <c r="F20" s="3" t="s">
        <v>125</v>
      </c>
      <c r="G20" s="3" t="s">
        <v>141</v>
      </c>
      <c r="H20" s="3" t="s">
        <v>87</v>
      </c>
      <c r="I20" s="3" t="s">
        <v>146</v>
      </c>
      <c r="J20" s="3" t="s">
        <v>88</v>
      </c>
      <c r="K20" s="3" t="s">
        <v>6</v>
      </c>
      <c r="L20" s="4">
        <f t="shared" si="0"/>
        <v>1</v>
      </c>
      <c r="M20" s="6">
        <v>46192</v>
      </c>
      <c r="N20" s="6">
        <v>46193</v>
      </c>
      <c r="O20" s="3" t="s">
        <v>89</v>
      </c>
      <c r="P20" s="3" t="s">
        <v>89</v>
      </c>
      <c r="Q20" s="3" t="s">
        <v>89</v>
      </c>
      <c r="R20" s="3" t="s">
        <v>89</v>
      </c>
      <c r="S20" s="3" t="s">
        <v>128</v>
      </c>
      <c r="T20" s="29"/>
    </row>
    <row r="21" spans="1:20" ht="31.5" customHeight="1">
      <c r="A21" s="3" t="s">
        <v>153</v>
      </c>
      <c r="B21" s="3">
        <v>2</v>
      </c>
      <c r="C21" s="3" t="s">
        <v>122</v>
      </c>
      <c r="D21" s="3" t="s">
        <v>154</v>
      </c>
      <c r="E21" s="3" t="s">
        <v>155</v>
      </c>
      <c r="F21" s="3" t="s">
        <v>156</v>
      </c>
      <c r="G21" s="3" t="s">
        <v>133</v>
      </c>
      <c r="H21" s="3" t="s">
        <v>99</v>
      </c>
      <c r="I21" s="3" t="s">
        <v>150</v>
      </c>
      <c r="J21" s="3" t="s">
        <v>88</v>
      </c>
      <c r="K21" s="3" t="s">
        <v>6</v>
      </c>
      <c r="L21" s="4">
        <f t="shared" si="0"/>
        <v>1</v>
      </c>
      <c r="M21" s="6">
        <v>46193</v>
      </c>
      <c r="N21" s="6">
        <v>46194</v>
      </c>
      <c r="O21" s="3" t="s">
        <v>89</v>
      </c>
      <c r="P21" s="3" t="s">
        <v>89</v>
      </c>
      <c r="Q21" s="3" t="s">
        <v>89</v>
      </c>
      <c r="R21" s="3" t="s">
        <v>89</v>
      </c>
      <c r="S21" s="3" t="s">
        <v>128</v>
      </c>
      <c r="T21" s="29"/>
    </row>
    <row r="22" spans="1:20" ht="31.5" customHeight="1">
      <c r="A22" s="3" t="s">
        <v>157</v>
      </c>
      <c r="B22" s="3">
        <v>2</v>
      </c>
      <c r="C22" s="3" t="s">
        <v>122</v>
      </c>
      <c r="D22" s="3" t="s">
        <v>158</v>
      </c>
      <c r="E22" s="3" t="s">
        <v>159</v>
      </c>
      <c r="F22" s="3" t="s">
        <v>125</v>
      </c>
      <c r="G22" s="3" t="s">
        <v>126</v>
      </c>
      <c r="H22" s="3" t="s">
        <v>99</v>
      </c>
      <c r="I22" s="3" t="s">
        <v>153</v>
      </c>
      <c r="J22" s="3" t="s">
        <v>88</v>
      </c>
      <c r="K22" s="3" t="s">
        <v>6</v>
      </c>
      <c r="L22" s="4">
        <f t="shared" si="0"/>
        <v>1</v>
      </c>
      <c r="M22" s="6">
        <v>46193</v>
      </c>
      <c r="N22" s="6">
        <v>46194</v>
      </c>
      <c r="O22" s="3" t="s">
        <v>89</v>
      </c>
      <c r="P22" s="3" t="s">
        <v>89</v>
      </c>
      <c r="Q22" s="3" t="s">
        <v>89</v>
      </c>
      <c r="R22" s="3" t="s">
        <v>89</v>
      </c>
      <c r="S22" s="3" t="s">
        <v>128</v>
      </c>
      <c r="T22" s="29"/>
    </row>
    <row r="23" spans="1:20" ht="31.5" customHeight="1">
      <c r="A23" s="3" t="s">
        <v>160</v>
      </c>
      <c r="B23" s="3">
        <v>2</v>
      </c>
      <c r="C23" s="3" t="s">
        <v>122</v>
      </c>
      <c r="D23" s="3" t="s">
        <v>161</v>
      </c>
      <c r="E23" s="3" t="s">
        <v>162</v>
      </c>
      <c r="F23" s="3" t="s">
        <v>125</v>
      </c>
      <c r="G23" s="3" t="s">
        <v>126</v>
      </c>
      <c r="H23" s="3" t="s">
        <v>99</v>
      </c>
      <c r="I23" s="3" t="s">
        <v>157</v>
      </c>
      <c r="J23" s="3" t="s">
        <v>88</v>
      </c>
      <c r="K23" s="3" t="s">
        <v>6</v>
      </c>
      <c r="L23" s="4">
        <f t="shared" si="0"/>
        <v>1</v>
      </c>
      <c r="M23" s="6">
        <v>46193</v>
      </c>
      <c r="N23" s="6">
        <v>46194</v>
      </c>
      <c r="O23" s="3" t="s">
        <v>89</v>
      </c>
      <c r="P23" s="3" t="s">
        <v>89</v>
      </c>
      <c r="Q23" s="3" t="s">
        <v>89</v>
      </c>
      <c r="R23" s="3" t="s">
        <v>89</v>
      </c>
      <c r="S23" s="3" t="s">
        <v>128</v>
      </c>
      <c r="T23" s="29"/>
    </row>
    <row r="24" spans="1:20" ht="31.5" customHeight="1">
      <c r="A24" s="3" t="s">
        <v>163</v>
      </c>
      <c r="B24" s="3">
        <v>3</v>
      </c>
      <c r="C24" s="3" t="s">
        <v>164</v>
      </c>
      <c r="D24" s="3" t="s">
        <v>165</v>
      </c>
      <c r="E24" s="3" t="s">
        <v>166</v>
      </c>
      <c r="F24" s="3" t="s">
        <v>167</v>
      </c>
      <c r="G24" s="3" t="s">
        <v>141</v>
      </c>
      <c r="H24" s="3" t="s">
        <v>87</v>
      </c>
      <c r="I24" s="3" t="s">
        <v>168</v>
      </c>
      <c r="J24" s="3" t="s">
        <v>88</v>
      </c>
      <c r="K24" s="3" t="s">
        <v>6</v>
      </c>
      <c r="L24" s="4">
        <f t="shared" si="0"/>
        <v>1</v>
      </c>
      <c r="M24" s="6">
        <v>46193</v>
      </c>
      <c r="N24" s="6">
        <v>46194</v>
      </c>
      <c r="O24" s="3" t="s">
        <v>89</v>
      </c>
      <c r="P24" s="3" t="s">
        <v>89</v>
      </c>
      <c r="Q24" s="3" t="s">
        <v>89</v>
      </c>
      <c r="R24" s="3" t="s">
        <v>89</v>
      </c>
      <c r="S24" s="3" t="s">
        <v>128</v>
      </c>
      <c r="T24" s="29" t="s">
        <v>169</v>
      </c>
    </row>
    <row r="25" spans="1:20" ht="31.5" customHeight="1">
      <c r="A25" s="3" t="s">
        <v>170</v>
      </c>
      <c r="B25" s="3">
        <v>3</v>
      </c>
      <c r="C25" s="3" t="s">
        <v>164</v>
      </c>
      <c r="D25" s="3" t="s">
        <v>171</v>
      </c>
      <c r="E25" s="3" t="s">
        <v>172</v>
      </c>
      <c r="F25" s="3" t="s">
        <v>167</v>
      </c>
      <c r="G25" s="3" t="s">
        <v>141</v>
      </c>
      <c r="H25" s="3" t="s">
        <v>99</v>
      </c>
      <c r="I25" s="3" t="s">
        <v>163</v>
      </c>
      <c r="J25" s="3" t="s">
        <v>88</v>
      </c>
      <c r="K25" s="3" t="s">
        <v>6</v>
      </c>
      <c r="L25" s="4">
        <f t="shared" si="0"/>
        <v>1</v>
      </c>
      <c r="M25" s="6">
        <v>46193</v>
      </c>
      <c r="N25" s="6">
        <v>46194</v>
      </c>
      <c r="O25" s="3" t="s">
        <v>89</v>
      </c>
      <c r="P25" s="3" t="s">
        <v>89</v>
      </c>
      <c r="Q25" s="3" t="s">
        <v>89</v>
      </c>
      <c r="R25" s="3" t="s">
        <v>89</v>
      </c>
      <c r="S25" s="3" t="s">
        <v>128</v>
      </c>
      <c r="T25" s="29"/>
    </row>
    <row r="26" spans="1:20" ht="31.5" customHeight="1">
      <c r="A26" s="3" t="s">
        <v>173</v>
      </c>
      <c r="B26" s="3">
        <v>3</v>
      </c>
      <c r="C26" s="3" t="s">
        <v>164</v>
      </c>
      <c r="D26" s="3" t="s">
        <v>174</v>
      </c>
      <c r="E26" s="3" t="s">
        <v>175</v>
      </c>
      <c r="F26" s="3" t="s">
        <v>167</v>
      </c>
      <c r="G26" s="3" t="s">
        <v>141</v>
      </c>
      <c r="H26" s="3" t="s">
        <v>99</v>
      </c>
      <c r="I26" s="3" t="s">
        <v>170</v>
      </c>
      <c r="J26" s="3" t="s">
        <v>88</v>
      </c>
      <c r="K26" s="3" t="s">
        <v>6</v>
      </c>
      <c r="L26" s="4">
        <f t="shared" si="0"/>
        <v>1</v>
      </c>
      <c r="M26" s="6">
        <v>46193</v>
      </c>
      <c r="N26" s="6">
        <v>46194</v>
      </c>
      <c r="O26" s="3" t="s">
        <v>89</v>
      </c>
      <c r="P26" s="3" t="s">
        <v>89</v>
      </c>
      <c r="Q26" s="3" t="s">
        <v>89</v>
      </c>
      <c r="R26" s="3" t="s">
        <v>89</v>
      </c>
      <c r="S26" s="3" t="s">
        <v>128</v>
      </c>
      <c r="T26" s="29"/>
    </row>
    <row r="27" spans="1:20" ht="31.5" customHeight="1">
      <c r="A27" s="3" t="s">
        <v>176</v>
      </c>
      <c r="B27" s="3">
        <v>3</v>
      </c>
      <c r="C27" s="3" t="s">
        <v>164</v>
      </c>
      <c r="D27" s="3" t="s">
        <v>177</v>
      </c>
      <c r="E27" s="3" t="s">
        <v>178</v>
      </c>
      <c r="F27" s="3" t="s">
        <v>167</v>
      </c>
      <c r="G27" s="3" t="s">
        <v>141</v>
      </c>
      <c r="H27" s="3" t="s">
        <v>99</v>
      </c>
      <c r="I27" s="3" t="s">
        <v>173</v>
      </c>
      <c r="J27" s="3" t="s">
        <v>88</v>
      </c>
      <c r="K27" s="3" t="s">
        <v>6</v>
      </c>
      <c r="L27" s="4">
        <f t="shared" si="0"/>
        <v>1</v>
      </c>
      <c r="M27" s="6">
        <v>46193</v>
      </c>
      <c r="N27" s="6">
        <v>46194</v>
      </c>
      <c r="O27" s="3" t="s">
        <v>89</v>
      </c>
      <c r="P27" s="3" t="s">
        <v>89</v>
      </c>
      <c r="Q27" s="3" t="s">
        <v>89</v>
      </c>
      <c r="R27" s="3" t="s">
        <v>89</v>
      </c>
      <c r="S27" s="3" t="s">
        <v>128</v>
      </c>
      <c r="T27" s="29"/>
    </row>
    <row r="28" spans="1:20" ht="31.5" customHeight="1">
      <c r="A28" s="3" t="s">
        <v>179</v>
      </c>
      <c r="B28" s="3">
        <v>3</v>
      </c>
      <c r="C28" s="3" t="s">
        <v>164</v>
      </c>
      <c r="D28" s="3" t="s">
        <v>180</v>
      </c>
      <c r="E28" s="3" t="s">
        <v>181</v>
      </c>
      <c r="F28" s="3" t="s">
        <v>167</v>
      </c>
      <c r="G28" s="3" t="s">
        <v>141</v>
      </c>
      <c r="H28" s="3" t="s">
        <v>99</v>
      </c>
      <c r="I28" s="3" t="s">
        <v>176</v>
      </c>
      <c r="J28" s="3" t="s">
        <v>88</v>
      </c>
      <c r="K28" s="3" t="s">
        <v>6</v>
      </c>
      <c r="L28" s="4">
        <f t="shared" si="0"/>
        <v>1</v>
      </c>
      <c r="M28" s="6">
        <v>46194</v>
      </c>
      <c r="N28" s="6">
        <v>46195</v>
      </c>
      <c r="O28" s="3" t="s">
        <v>89</v>
      </c>
      <c r="P28" s="3" t="s">
        <v>89</v>
      </c>
      <c r="Q28" s="3" t="s">
        <v>89</v>
      </c>
      <c r="R28" s="3" t="s">
        <v>89</v>
      </c>
      <c r="S28" s="3" t="s">
        <v>128</v>
      </c>
      <c r="T28" s="29"/>
    </row>
    <row r="29" spans="1:20" ht="31.5" customHeight="1">
      <c r="A29" s="3" t="s">
        <v>182</v>
      </c>
      <c r="B29" s="3">
        <v>3</v>
      </c>
      <c r="C29" s="3" t="s">
        <v>164</v>
      </c>
      <c r="D29" s="3" t="s">
        <v>183</v>
      </c>
      <c r="E29" s="3" t="s">
        <v>184</v>
      </c>
      <c r="F29" s="3" t="s">
        <v>167</v>
      </c>
      <c r="G29" s="3" t="s">
        <v>141</v>
      </c>
      <c r="H29" s="3" t="s">
        <v>87</v>
      </c>
      <c r="I29" s="3" t="s">
        <v>179</v>
      </c>
      <c r="J29" s="3" t="s">
        <v>88</v>
      </c>
      <c r="K29" s="3" t="s">
        <v>6</v>
      </c>
      <c r="L29" s="4">
        <f t="shared" si="0"/>
        <v>1</v>
      </c>
      <c r="M29" s="6">
        <v>46194</v>
      </c>
      <c r="N29" s="6">
        <v>46195</v>
      </c>
      <c r="O29" s="3" t="s">
        <v>89</v>
      </c>
      <c r="P29" s="3" t="s">
        <v>89</v>
      </c>
      <c r="Q29" s="3" t="s">
        <v>89</v>
      </c>
      <c r="R29" s="3" t="s">
        <v>89</v>
      </c>
      <c r="S29" s="3" t="s">
        <v>128</v>
      </c>
      <c r="T29" s="29"/>
    </row>
    <row r="30" spans="1:20" ht="31.5" customHeight="1">
      <c r="A30" s="3" t="s">
        <v>185</v>
      </c>
      <c r="B30" s="3">
        <v>3</v>
      </c>
      <c r="C30" s="3" t="s">
        <v>164</v>
      </c>
      <c r="D30" s="3" t="s">
        <v>186</v>
      </c>
      <c r="E30" s="3" t="s">
        <v>187</v>
      </c>
      <c r="F30" s="3" t="s">
        <v>167</v>
      </c>
      <c r="G30" s="3" t="s">
        <v>141</v>
      </c>
      <c r="H30" s="3" t="s">
        <v>87</v>
      </c>
      <c r="I30" s="3" t="s">
        <v>182</v>
      </c>
      <c r="J30" s="3" t="s">
        <v>88</v>
      </c>
      <c r="K30" s="3" t="s">
        <v>6</v>
      </c>
      <c r="L30" s="4">
        <f t="shared" si="0"/>
        <v>1</v>
      </c>
      <c r="M30" s="6">
        <v>46194</v>
      </c>
      <c r="N30" s="6">
        <v>46195</v>
      </c>
      <c r="O30" s="3" t="s">
        <v>89</v>
      </c>
      <c r="P30" s="3" t="s">
        <v>89</v>
      </c>
      <c r="Q30" s="3" t="s">
        <v>89</v>
      </c>
      <c r="R30" s="3" t="s">
        <v>89</v>
      </c>
      <c r="S30" s="3" t="s">
        <v>128</v>
      </c>
      <c r="T30" s="29"/>
    </row>
    <row r="31" spans="1:20" ht="31.5" customHeight="1">
      <c r="A31" s="3" t="s">
        <v>188</v>
      </c>
      <c r="B31" s="3">
        <v>3</v>
      </c>
      <c r="C31" s="3" t="s">
        <v>164</v>
      </c>
      <c r="D31" s="3" t="s">
        <v>189</v>
      </c>
      <c r="E31" s="3" t="s">
        <v>190</v>
      </c>
      <c r="F31" s="3" t="s">
        <v>191</v>
      </c>
      <c r="G31" s="3" t="s">
        <v>141</v>
      </c>
      <c r="H31" s="3" t="s">
        <v>118</v>
      </c>
      <c r="I31" s="3" t="s">
        <v>185</v>
      </c>
      <c r="J31" s="3" t="s">
        <v>88</v>
      </c>
      <c r="K31" s="3" t="s">
        <v>6</v>
      </c>
      <c r="L31" s="4">
        <f t="shared" si="0"/>
        <v>1</v>
      </c>
      <c r="M31" s="6">
        <v>46194</v>
      </c>
      <c r="N31" s="6">
        <v>46195</v>
      </c>
      <c r="O31" s="3" t="s">
        <v>89</v>
      </c>
      <c r="P31" s="3" t="s">
        <v>89</v>
      </c>
      <c r="Q31" s="3" t="s">
        <v>89</v>
      </c>
      <c r="R31" s="3" t="s">
        <v>89</v>
      </c>
      <c r="S31" s="3" t="s">
        <v>128</v>
      </c>
      <c r="T31" s="29" t="s">
        <v>192</v>
      </c>
    </row>
    <row r="32" spans="1:20" ht="31.5" customHeight="1">
      <c r="A32" s="3" t="s">
        <v>193</v>
      </c>
      <c r="B32" s="3">
        <v>4</v>
      </c>
      <c r="C32" s="3" t="s">
        <v>194</v>
      </c>
      <c r="D32" s="3" t="s">
        <v>195</v>
      </c>
      <c r="E32" s="3" t="s">
        <v>196</v>
      </c>
      <c r="F32" s="3" t="s">
        <v>197</v>
      </c>
      <c r="G32" s="3" t="s">
        <v>194</v>
      </c>
      <c r="H32" s="3" t="s">
        <v>87</v>
      </c>
      <c r="I32" s="3" t="s">
        <v>198</v>
      </c>
      <c r="J32" s="3" t="s">
        <v>88</v>
      </c>
      <c r="K32" s="3" t="s">
        <v>6</v>
      </c>
      <c r="L32" s="4">
        <f t="shared" si="0"/>
        <v>1</v>
      </c>
      <c r="M32" s="6">
        <v>46194</v>
      </c>
      <c r="N32" s="6">
        <v>46195</v>
      </c>
      <c r="O32" s="3" t="s">
        <v>89</v>
      </c>
      <c r="P32" s="3" t="s">
        <v>89</v>
      </c>
      <c r="Q32" s="3" t="s">
        <v>89</v>
      </c>
      <c r="R32" s="3" t="s">
        <v>89</v>
      </c>
      <c r="S32" s="3" t="s">
        <v>128</v>
      </c>
      <c r="T32" s="29"/>
    </row>
    <row r="33" spans="1:20" ht="31.5" customHeight="1">
      <c r="A33" s="3" t="s">
        <v>199</v>
      </c>
      <c r="B33" s="3">
        <v>4</v>
      </c>
      <c r="C33" s="3" t="s">
        <v>194</v>
      </c>
      <c r="D33" s="3" t="s">
        <v>200</v>
      </c>
      <c r="E33" s="3" t="s">
        <v>201</v>
      </c>
      <c r="F33" s="3" t="s">
        <v>197</v>
      </c>
      <c r="G33" s="3" t="s">
        <v>194</v>
      </c>
      <c r="H33" s="3" t="s">
        <v>87</v>
      </c>
      <c r="I33" s="3" t="s">
        <v>193</v>
      </c>
      <c r="J33" s="3" t="s">
        <v>88</v>
      </c>
      <c r="K33" s="3" t="s">
        <v>6</v>
      </c>
      <c r="L33" s="4">
        <f t="shared" si="0"/>
        <v>1</v>
      </c>
      <c r="M33" s="6">
        <v>46194</v>
      </c>
      <c r="N33" s="6">
        <v>46195</v>
      </c>
      <c r="O33" s="3" t="s">
        <v>89</v>
      </c>
      <c r="P33" s="3" t="s">
        <v>89</v>
      </c>
      <c r="Q33" s="3" t="s">
        <v>89</v>
      </c>
      <c r="R33" s="3" t="s">
        <v>89</v>
      </c>
      <c r="S33" s="3" t="s">
        <v>128</v>
      </c>
      <c r="T33" s="29"/>
    </row>
    <row r="34" spans="1:20" ht="31.5" customHeight="1">
      <c r="A34" s="3" t="s">
        <v>202</v>
      </c>
      <c r="B34" s="3">
        <v>4</v>
      </c>
      <c r="C34" s="3" t="s">
        <v>194</v>
      </c>
      <c r="D34" s="3" t="s">
        <v>203</v>
      </c>
      <c r="E34" s="3" t="s">
        <v>204</v>
      </c>
      <c r="F34" s="3" t="s">
        <v>197</v>
      </c>
      <c r="G34" s="3" t="s">
        <v>194</v>
      </c>
      <c r="H34" s="3" t="s">
        <v>99</v>
      </c>
      <c r="I34" s="3" t="s">
        <v>199</v>
      </c>
      <c r="J34" s="3" t="s">
        <v>88</v>
      </c>
      <c r="K34" s="3" t="s">
        <v>6</v>
      </c>
      <c r="L34" s="4">
        <f t="shared" si="0"/>
        <v>1</v>
      </c>
      <c r="M34" s="6">
        <v>46194</v>
      </c>
      <c r="N34" s="6">
        <v>46195</v>
      </c>
      <c r="O34" s="3" t="s">
        <v>89</v>
      </c>
      <c r="P34" s="3" t="s">
        <v>89</v>
      </c>
      <c r="Q34" s="3" t="s">
        <v>89</v>
      </c>
      <c r="R34" s="3" t="s">
        <v>89</v>
      </c>
      <c r="S34" s="3" t="s">
        <v>128</v>
      </c>
      <c r="T34" s="29"/>
    </row>
    <row r="35" spans="1:20" ht="31.5" customHeight="1">
      <c r="A35" s="3" t="s">
        <v>205</v>
      </c>
      <c r="B35" s="3">
        <v>4</v>
      </c>
      <c r="C35" s="3" t="s">
        <v>194</v>
      </c>
      <c r="D35" s="3" t="s">
        <v>206</v>
      </c>
      <c r="E35" s="3" t="s">
        <v>207</v>
      </c>
      <c r="F35" s="3" t="s">
        <v>197</v>
      </c>
      <c r="G35" s="3" t="s">
        <v>194</v>
      </c>
      <c r="H35" s="3" t="s">
        <v>87</v>
      </c>
      <c r="I35" s="3" t="s">
        <v>202</v>
      </c>
      <c r="J35" s="3" t="s">
        <v>88</v>
      </c>
      <c r="K35" s="3" t="s">
        <v>6</v>
      </c>
      <c r="L35" s="4">
        <f t="shared" si="0"/>
        <v>1</v>
      </c>
      <c r="M35" s="6">
        <v>46194</v>
      </c>
      <c r="N35" s="6">
        <v>46195</v>
      </c>
      <c r="O35" s="3" t="s">
        <v>89</v>
      </c>
      <c r="P35" s="3" t="s">
        <v>89</v>
      </c>
      <c r="Q35" s="3" t="s">
        <v>89</v>
      </c>
      <c r="R35" s="3" t="s">
        <v>89</v>
      </c>
      <c r="S35" s="3" t="s">
        <v>128</v>
      </c>
      <c r="T35" s="29" t="s">
        <v>208</v>
      </c>
    </row>
    <row r="36" spans="1:20" ht="31.5" customHeight="1">
      <c r="A36" s="3" t="s">
        <v>209</v>
      </c>
      <c r="B36" s="3">
        <v>4</v>
      </c>
      <c r="C36" s="3" t="s">
        <v>194</v>
      </c>
      <c r="D36" s="3" t="s">
        <v>210</v>
      </c>
      <c r="E36" s="3" t="s">
        <v>211</v>
      </c>
      <c r="F36" s="3" t="s">
        <v>197</v>
      </c>
      <c r="G36" s="3" t="s">
        <v>194</v>
      </c>
      <c r="H36" s="3" t="s">
        <v>99</v>
      </c>
      <c r="I36" s="3" t="s">
        <v>205</v>
      </c>
      <c r="J36" s="3" t="s">
        <v>88</v>
      </c>
      <c r="K36" s="3" t="s">
        <v>6</v>
      </c>
      <c r="L36" s="4">
        <f t="shared" si="0"/>
        <v>1</v>
      </c>
      <c r="M36" s="6">
        <v>46195</v>
      </c>
      <c r="N36" s="6">
        <v>46196</v>
      </c>
      <c r="O36" s="3" t="s">
        <v>89</v>
      </c>
      <c r="P36" s="3" t="s">
        <v>89</v>
      </c>
      <c r="Q36" s="3" t="s">
        <v>89</v>
      </c>
      <c r="R36" s="3" t="s">
        <v>89</v>
      </c>
      <c r="S36" s="3" t="s">
        <v>128</v>
      </c>
      <c r="T36" s="29"/>
    </row>
    <row r="37" spans="1:20" ht="31.5" customHeight="1">
      <c r="A37" s="3" t="s">
        <v>212</v>
      </c>
      <c r="B37" s="3">
        <v>4</v>
      </c>
      <c r="C37" s="3" t="s">
        <v>194</v>
      </c>
      <c r="D37" s="3" t="s">
        <v>213</v>
      </c>
      <c r="E37" s="3" t="s">
        <v>214</v>
      </c>
      <c r="F37" s="3" t="s">
        <v>197</v>
      </c>
      <c r="G37" s="3" t="s">
        <v>194</v>
      </c>
      <c r="H37" s="3" t="s">
        <v>99</v>
      </c>
      <c r="I37" s="3" t="s">
        <v>209</v>
      </c>
      <c r="J37" s="3" t="s">
        <v>88</v>
      </c>
      <c r="K37" s="3" t="s">
        <v>6</v>
      </c>
      <c r="L37" s="4">
        <f t="shared" si="0"/>
        <v>1</v>
      </c>
      <c r="M37" s="6">
        <v>46195</v>
      </c>
      <c r="N37" s="6">
        <v>46196</v>
      </c>
      <c r="O37" s="3" t="s">
        <v>89</v>
      </c>
      <c r="P37" s="3" t="s">
        <v>89</v>
      </c>
      <c r="Q37" s="3" t="s">
        <v>89</v>
      </c>
      <c r="R37" s="3" t="s">
        <v>89</v>
      </c>
      <c r="S37" s="3" t="s">
        <v>128</v>
      </c>
      <c r="T37" s="29" t="s">
        <v>215</v>
      </c>
    </row>
    <row r="38" spans="1:20" ht="31.5" customHeight="1">
      <c r="A38" s="3" t="s">
        <v>216</v>
      </c>
      <c r="B38" s="3">
        <v>4</v>
      </c>
      <c r="C38" s="3" t="s">
        <v>194</v>
      </c>
      <c r="D38" s="3" t="s">
        <v>217</v>
      </c>
      <c r="E38" s="3" t="s">
        <v>218</v>
      </c>
      <c r="F38" s="3" t="s">
        <v>197</v>
      </c>
      <c r="G38" s="3" t="s">
        <v>194</v>
      </c>
      <c r="H38" s="3" t="s">
        <v>118</v>
      </c>
      <c r="I38" s="3" t="s">
        <v>212</v>
      </c>
      <c r="J38" s="3" t="s">
        <v>88</v>
      </c>
      <c r="K38" s="3" t="s">
        <v>6</v>
      </c>
      <c r="L38" s="4">
        <f t="shared" ref="L38:L69" si="1">IF(K38="Hoàn thành",1,IF(K38="Đang làm",0.5,IF(K38="Rủi ro",0.25,IF(K38="Tạm dừng",0.1,0))))</f>
        <v>1</v>
      </c>
      <c r="M38" s="6">
        <v>46195</v>
      </c>
      <c r="N38" s="6">
        <v>46196</v>
      </c>
      <c r="O38" s="3" t="s">
        <v>89</v>
      </c>
      <c r="P38" s="3" t="s">
        <v>89</v>
      </c>
      <c r="Q38" s="3" t="s">
        <v>89</v>
      </c>
      <c r="R38" s="3" t="s">
        <v>89</v>
      </c>
      <c r="S38" s="3" t="s">
        <v>128</v>
      </c>
      <c r="T38" s="29" t="s">
        <v>219</v>
      </c>
    </row>
    <row r="39" spans="1:20" ht="31.5" customHeight="1">
      <c r="A39" s="3" t="s">
        <v>220</v>
      </c>
      <c r="B39" s="3">
        <v>5</v>
      </c>
      <c r="C39" s="3" t="s">
        <v>221</v>
      </c>
      <c r="D39" s="3" t="s">
        <v>222</v>
      </c>
      <c r="E39" s="3" t="s">
        <v>223</v>
      </c>
      <c r="F39" s="3" t="s">
        <v>224</v>
      </c>
      <c r="G39" s="3" t="s">
        <v>35</v>
      </c>
      <c r="H39" s="3" t="s">
        <v>87</v>
      </c>
      <c r="I39" s="3" t="s">
        <v>225</v>
      </c>
      <c r="J39" s="3" t="s">
        <v>88</v>
      </c>
      <c r="K39" s="3" t="s">
        <v>6</v>
      </c>
      <c r="L39" s="4">
        <f t="shared" si="1"/>
        <v>1</v>
      </c>
      <c r="M39" s="6">
        <v>46195</v>
      </c>
      <c r="N39" s="6">
        <v>46196</v>
      </c>
      <c r="O39" s="3" t="s">
        <v>89</v>
      </c>
      <c r="P39" s="3" t="s">
        <v>89</v>
      </c>
      <c r="Q39" s="3" t="s">
        <v>89</v>
      </c>
      <c r="R39" s="3" t="s">
        <v>89</v>
      </c>
      <c r="S39" s="3" t="s">
        <v>226</v>
      </c>
      <c r="T39" s="29" t="s">
        <v>227</v>
      </c>
    </row>
    <row r="40" spans="1:20" ht="31.5" customHeight="1">
      <c r="A40" s="3" t="s">
        <v>228</v>
      </c>
      <c r="B40" s="3">
        <v>5</v>
      </c>
      <c r="C40" s="3" t="s">
        <v>221</v>
      </c>
      <c r="D40" s="3" t="s">
        <v>229</v>
      </c>
      <c r="E40" s="3" t="s">
        <v>230</v>
      </c>
      <c r="F40" s="3" t="s">
        <v>231</v>
      </c>
      <c r="G40" s="3" t="s">
        <v>35</v>
      </c>
      <c r="H40" s="3" t="s">
        <v>99</v>
      </c>
      <c r="I40" s="3" t="s">
        <v>220</v>
      </c>
      <c r="J40" s="3" t="s">
        <v>88</v>
      </c>
      <c r="K40" s="3" t="s">
        <v>6</v>
      </c>
      <c r="L40" s="4">
        <f t="shared" si="1"/>
        <v>1</v>
      </c>
      <c r="M40" s="6">
        <v>46195</v>
      </c>
      <c r="N40" s="6">
        <v>46196</v>
      </c>
      <c r="O40" s="3" t="s">
        <v>89</v>
      </c>
      <c r="P40" s="3" t="s">
        <v>89</v>
      </c>
      <c r="Q40" s="3" t="s">
        <v>89</v>
      </c>
      <c r="R40" s="3" t="s">
        <v>89</v>
      </c>
      <c r="S40" s="3" t="s">
        <v>226</v>
      </c>
      <c r="T40" s="29"/>
    </row>
    <row r="41" spans="1:20" ht="31.5" customHeight="1">
      <c r="A41" s="3" t="s">
        <v>232</v>
      </c>
      <c r="B41" s="3">
        <v>5</v>
      </c>
      <c r="C41" s="3" t="s">
        <v>221</v>
      </c>
      <c r="D41" s="3" t="s">
        <v>233</v>
      </c>
      <c r="E41" s="3" t="s">
        <v>234</v>
      </c>
      <c r="F41" s="3" t="s">
        <v>235</v>
      </c>
      <c r="G41" s="3" t="s">
        <v>35</v>
      </c>
      <c r="H41" s="3" t="s">
        <v>99</v>
      </c>
      <c r="I41" s="3" t="s">
        <v>228</v>
      </c>
      <c r="J41" s="3" t="s">
        <v>88</v>
      </c>
      <c r="K41" s="3" t="s">
        <v>6</v>
      </c>
      <c r="L41" s="4">
        <f t="shared" si="1"/>
        <v>1</v>
      </c>
      <c r="M41" s="6">
        <v>46195</v>
      </c>
      <c r="N41" s="6">
        <v>46196</v>
      </c>
      <c r="O41" s="3" t="s">
        <v>89</v>
      </c>
      <c r="P41" s="3" t="s">
        <v>89</v>
      </c>
      <c r="Q41" s="3" t="s">
        <v>89</v>
      </c>
      <c r="R41" s="3" t="s">
        <v>89</v>
      </c>
      <c r="S41" s="3" t="s">
        <v>226</v>
      </c>
      <c r="T41" s="29"/>
    </row>
    <row r="42" spans="1:20" ht="31.5" customHeight="1">
      <c r="A42" s="3" t="s">
        <v>236</v>
      </c>
      <c r="B42" s="3">
        <v>5</v>
      </c>
      <c r="C42" s="3" t="s">
        <v>221</v>
      </c>
      <c r="D42" s="3" t="s">
        <v>237</v>
      </c>
      <c r="E42" s="3" t="s">
        <v>238</v>
      </c>
      <c r="F42" s="3" t="s">
        <v>235</v>
      </c>
      <c r="G42" s="3" t="s">
        <v>35</v>
      </c>
      <c r="H42" s="3" t="s">
        <v>118</v>
      </c>
      <c r="I42" s="3" t="s">
        <v>232</v>
      </c>
      <c r="J42" s="3" t="s">
        <v>88</v>
      </c>
      <c r="K42" s="3" t="s">
        <v>6</v>
      </c>
      <c r="L42" s="4">
        <f t="shared" si="1"/>
        <v>1</v>
      </c>
      <c r="M42" s="6">
        <v>46195</v>
      </c>
      <c r="N42" s="6">
        <v>46196</v>
      </c>
      <c r="O42" s="3" t="s">
        <v>89</v>
      </c>
      <c r="P42" s="3" t="s">
        <v>89</v>
      </c>
      <c r="Q42" s="3" t="s">
        <v>89</v>
      </c>
      <c r="R42" s="3" t="s">
        <v>89</v>
      </c>
      <c r="S42" s="3" t="s">
        <v>226</v>
      </c>
      <c r="T42" s="29"/>
    </row>
    <row r="43" spans="1:20" ht="31.5" customHeight="1">
      <c r="A43" s="3" t="s">
        <v>239</v>
      </c>
      <c r="B43" s="3">
        <v>5</v>
      </c>
      <c r="C43" s="3" t="s">
        <v>221</v>
      </c>
      <c r="D43" s="3" t="s">
        <v>240</v>
      </c>
      <c r="E43" s="3" t="s">
        <v>241</v>
      </c>
      <c r="F43" s="3" t="s">
        <v>242</v>
      </c>
      <c r="G43" s="3" t="s">
        <v>35</v>
      </c>
      <c r="H43" s="3" t="s">
        <v>99</v>
      </c>
      <c r="I43" s="3" t="s">
        <v>236</v>
      </c>
      <c r="J43" s="3" t="s">
        <v>88</v>
      </c>
      <c r="K43" s="3" t="s">
        <v>6</v>
      </c>
      <c r="L43" s="4">
        <f t="shared" si="1"/>
        <v>1</v>
      </c>
      <c r="M43" s="6">
        <v>46196</v>
      </c>
      <c r="N43" s="6">
        <v>46197</v>
      </c>
      <c r="O43" s="3" t="s">
        <v>89</v>
      </c>
      <c r="P43" s="3" t="s">
        <v>89</v>
      </c>
      <c r="Q43" s="3" t="s">
        <v>89</v>
      </c>
      <c r="R43" s="3" t="s">
        <v>89</v>
      </c>
      <c r="S43" s="3" t="s">
        <v>226</v>
      </c>
      <c r="T43" s="29"/>
    </row>
    <row r="44" spans="1:20" ht="31.5" customHeight="1">
      <c r="A44" s="3" t="s">
        <v>243</v>
      </c>
      <c r="B44" s="3">
        <v>5</v>
      </c>
      <c r="C44" s="3" t="s">
        <v>221</v>
      </c>
      <c r="D44" s="3" t="s">
        <v>244</v>
      </c>
      <c r="E44" s="3" t="s">
        <v>245</v>
      </c>
      <c r="F44" s="3" t="s">
        <v>246</v>
      </c>
      <c r="G44" s="3" t="s">
        <v>35</v>
      </c>
      <c r="H44" s="3" t="s">
        <v>87</v>
      </c>
      <c r="I44" s="3" t="s">
        <v>239</v>
      </c>
      <c r="J44" s="3" t="s">
        <v>88</v>
      </c>
      <c r="K44" s="3" t="s">
        <v>6</v>
      </c>
      <c r="L44" s="4">
        <f t="shared" si="1"/>
        <v>1</v>
      </c>
      <c r="M44" s="6">
        <v>46196</v>
      </c>
      <c r="N44" s="6">
        <v>46197</v>
      </c>
      <c r="O44" s="3" t="s">
        <v>89</v>
      </c>
      <c r="P44" s="3" t="s">
        <v>89</v>
      </c>
      <c r="Q44" s="3" t="s">
        <v>89</v>
      </c>
      <c r="R44" s="3" t="s">
        <v>89</v>
      </c>
      <c r="S44" s="3" t="s">
        <v>226</v>
      </c>
      <c r="T44" s="29"/>
    </row>
    <row r="45" spans="1:20" ht="31.5" customHeight="1">
      <c r="A45" s="3" t="s">
        <v>247</v>
      </c>
      <c r="B45" s="3">
        <v>5</v>
      </c>
      <c r="C45" s="3" t="s">
        <v>221</v>
      </c>
      <c r="D45" s="3" t="s">
        <v>248</v>
      </c>
      <c r="E45" s="3" t="s">
        <v>249</v>
      </c>
      <c r="F45" s="3" t="s">
        <v>224</v>
      </c>
      <c r="G45" s="3" t="s">
        <v>35</v>
      </c>
      <c r="H45" s="3" t="s">
        <v>99</v>
      </c>
      <c r="I45" s="3" t="s">
        <v>243</v>
      </c>
      <c r="J45" s="3" t="s">
        <v>88</v>
      </c>
      <c r="K45" s="3" t="s">
        <v>6</v>
      </c>
      <c r="L45" s="4">
        <f t="shared" si="1"/>
        <v>1</v>
      </c>
      <c r="M45" s="6">
        <v>46196</v>
      </c>
      <c r="N45" s="6">
        <v>46197</v>
      </c>
      <c r="O45" s="3" t="s">
        <v>89</v>
      </c>
      <c r="P45" s="3" t="s">
        <v>89</v>
      </c>
      <c r="Q45" s="3" t="s">
        <v>89</v>
      </c>
      <c r="R45" s="3" t="s">
        <v>89</v>
      </c>
      <c r="S45" s="3" t="s">
        <v>226</v>
      </c>
      <c r="T45" s="29"/>
    </row>
    <row r="46" spans="1:20" ht="31.5" customHeight="1">
      <c r="A46" s="3" t="s">
        <v>250</v>
      </c>
      <c r="B46" s="3">
        <v>5</v>
      </c>
      <c r="C46" s="3" t="s">
        <v>221</v>
      </c>
      <c r="D46" s="3" t="s">
        <v>251</v>
      </c>
      <c r="E46" s="3" t="s">
        <v>252</v>
      </c>
      <c r="F46" s="3" t="s">
        <v>253</v>
      </c>
      <c r="G46" s="3" t="s">
        <v>35</v>
      </c>
      <c r="H46" s="3" t="s">
        <v>99</v>
      </c>
      <c r="I46" s="3" t="s">
        <v>247</v>
      </c>
      <c r="J46" s="3" t="s">
        <v>88</v>
      </c>
      <c r="K46" s="3" t="s">
        <v>6</v>
      </c>
      <c r="L46" s="4">
        <f t="shared" si="1"/>
        <v>1</v>
      </c>
      <c r="M46" s="6">
        <v>46197</v>
      </c>
      <c r="N46" s="6">
        <v>46198</v>
      </c>
      <c r="O46" s="3" t="s">
        <v>89</v>
      </c>
      <c r="P46" s="3" t="s">
        <v>89</v>
      </c>
      <c r="Q46" s="3" t="s">
        <v>89</v>
      </c>
      <c r="R46" s="3" t="s">
        <v>89</v>
      </c>
      <c r="S46" s="3" t="s">
        <v>226</v>
      </c>
      <c r="T46" s="29"/>
    </row>
    <row r="47" spans="1:20" ht="31.5" customHeight="1">
      <c r="A47" s="3" t="s">
        <v>254</v>
      </c>
      <c r="B47" s="3">
        <v>5</v>
      </c>
      <c r="C47" s="3" t="s">
        <v>221</v>
      </c>
      <c r="D47" s="3" t="s">
        <v>255</v>
      </c>
      <c r="E47" s="3" t="s">
        <v>256</v>
      </c>
      <c r="F47" s="3" t="s">
        <v>257</v>
      </c>
      <c r="G47" s="3" t="s">
        <v>194</v>
      </c>
      <c r="H47" s="3" t="s">
        <v>99</v>
      </c>
      <c r="I47" s="3" t="s">
        <v>250</v>
      </c>
      <c r="J47" s="3" t="s">
        <v>88</v>
      </c>
      <c r="K47" s="3" t="s">
        <v>6</v>
      </c>
      <c r="L47" s="4">
        <f t="shared" si="1"/>
        <v>1</v>
      </c>
      <c r="M47" s="6">
        <v>46197</v>
      </c>
      <c r="N47" s="6">
        <v>46198</v>
      </c>
      <c r="O47" s="3" t="s">
        <v>89</v>
      </c>
      <c r="P47" s="3" t="s">
        <v>89</v>
      </c>
      <c r="Q47" s="3" t="s">
        <v>89</v>
      </c>
      <c r="R47" s="3" t="s">
        <v>89</v>
      </c>
      <c r="S47" s="3" t="s">
        <v>226</v>
      </c>
      <c r="T47" s="29" t="s">
        <v>258</v>
      </c>
    </row>
    <row r="48" spans="1:20" ht="31.5" customHeight="1">
      <c r="A48" s="3" t="s">
        <v>259</v>
      </c>
      <c r="B48" s="3">
        <v>5</v>
      </c>
      <c r="C48" s="3" t="s">
        <v>221</v>
      </c>
      <c r="D48" s="3" t="s">
        <v>260</v>
      </c>
      <c r="E48" s="3" t="s">
        <v>261</v>
      </c>
      <c r="F48" s="3" t="s">
        <v>224</v>
      </c>
      <c r="G48" s="3" t="s">
        <v>126</v>
      </c>
      <c r="H48" s="3" t="s">
        <v>99</v>
      </c>
      <c r="I48" s="3" t="s">
        <v>254</v>
      </c>
      <c r="J48" s="3" t="s">
        <v>88</v>
      </c>
      <c r="K48" s="3" t="s">
        <v>6</v>
      </c>
      <c r="L48" s="4">
        <f t="shared" si="1"/>
        <v>1</v>
      </c>
      <c r="M48" s="6">
        <v>46197</v>
      </c>
      <c r="N48" s="6">
        <v>46198</v>
      </c>
      <c r="O48" s="3" t="s">
        <v>89</v>
      </c>
      <c r="P48" s="3" t="s">
        <v>89</v>
      </c>
      <c r="Q48" s="3" t="s">
        <v>89</v>
      </c>
      <c r="R48" s="3" t="s">
        <v>89</v>
      </c>
      <c r="S48" s="3" t="s">
        <v>226</v>
      </c>
      <c r="T48" s="29"/>
    </row>
    <row r="49" spans="1:20" ht="31.5" customHeight="1">
      <c r="A49" s="3" t="s">
        <v>262</v>
      </c>
      <c r="B49" s="3">
        <v>6</v>
      </c>
      <c r="C49" s="3" t="s">
        <v>263</v>
      </c>
      <c r="D49" s="3" t="s">
        <v>264</v>
      </c>
      <c r="E49" s="3" t="s">
        <v>265</v>
      </c>
      <c r="F49" s="3" t="s">
        <v>266</v>
      </c>
      <c r="G49" s="3" t="s">
        <v>133</v>
      </c>
      <c r="H49" s="3" t="s">
        <v>87</v>
      </c>
      <c r="I49" s="3" t="s">
        <v>267</v>
      </c>
      <c r="J49" s="3" t="s">
        <v>88</v>
      </c>
      <c r="K49" s="3" t="s">
        <v>6</v>
      </c>
      <c r="L49" s="4">
        <f t="shared" si="1"/>
        <v>1</v>
      </c>
      <c r="M49" s="6">
        <v>46197</v>
      </c>
      <c r="N49" s="6">
        <v>46198</v>
      </c>
      <c r="O49" s="3" t="s">
        <v>89</v>
      </c>
      <c r="P49" s="3" t="s">
        <v>89</v>
      </c>
      <c r="Q49" s="3" t="s">
        <v>89</v>
      </c>
      <c r="R49" s="3" t="s">
        <v>89</v>
      </c>
      <c r="S49" s="3" t="s">
        <v>128</v>
      </c>
      <c r="T49" s="29"/>
    </row>
    <row r="50" spans="1:20" ht="31.5" customHeight="1">
      <c r="A50" s="3" t="s">
        <v>268</v>
      </c>
      <c r="B50" s="3">
        <v>6</v>
      </c>
      <c r="C50" s="3" t="s">
        <v>263</v>
      </c>
      <c r="D50" s="3" t="s">
        <v>269</v>
      </c>
      <c r="E50" s="3" t="s">
        <v>270</v>
      </c>
      <c r="F50" s="3" t="s">
        <v>271</v>
      </c>
      <c r="G50" s="3" t="s">
        <v>133</v>
      </c>
      <c r="H50" s="3" t="s">
        <v>87</v>
      </c>
      <c r="I50" s="3" t="s">
        <v>262</v>
      </c>
      <c r="J50" s="3" t="s">
        <v>88</v>
      </c>
      <c r="K50" s="3" t="s">
        <v>6</v>
      </c>
      <c r="L50" s="4">
        <f t="shared" si="1"/>
        <v>1</v>
      </c>
      <c r="M50" s="6">
        <v>46197</v>
      </c>
      <c r="N50" s="6">
        <v>46198</v>
      </c>
      <c r="O50" s="3" t="s">
        <v>89</v>
      </c>
      <c r="P50" s="3" t="s">
        <v>89</v>
      </c>
      <c r="Q50" s="3" t="s">
        <v>89</v>
      </c>
      <c r="R50" s="3" t="s">
        <v>89</v>
      </c>
      <c r="S50" s="3" t="s">
        <v>128</v>
      </c>
      <c r="T50" s="29"/>
    </row>
    <row r="51" spans="1:20" ht="31.5" customHeight="1">
      <c r="A51" s="3" t="s">
        <v>272</v>
      </c>
      <c r="B51" s="3">
        <v>6</v>
      </c>
      <c r="C51" s="3" t="s">
        <v>263</v>
      </c>
      <c r="D51" s="3" t="s">
        <v>273</v>
      </c>
      <c r="E51" s="3" t="s">
        <v>274</v>
      </c>
      <c r="F51" s="3" t="s">
        <v>275</v>
      </c>
      <c r="G51" s="3" t="s">
        <v>194</v>
      </c>
      <c r="H51" s="3" t="s">
        <v>87</v>
      </c>
      <c r="I51" s="3" t="s">
        <v>268</v>
      </c>
      <c r="J51" s="3" t="s">
        <v>88</v>
      </c>
      <c r="K51" s="3" t="s">
        <v>6</v>
      </c>
      <c r="L51" s="4">
        <f t="shared" si="1"/>
        <v>1</v>
      </c>
      <c r="M51" s="6">
        <v>46197</v>
      </c>
      <c r="N51" s="6">
        <v>46198</v>
      </c>
      <c r="O51" s="3" t="s">
        <v>89</v>
      </c>
      <c r="P51" s="3" t="s">
        <v>89</v>
      </c>
      <c r="Q51" s="3" t="s">
        <v>89</v>
      </c>
      <c r="R51" s="3" t="s">
        <v>89</v>
      </c>
      <c r="S51" s="3" t="s">
        <v>128</v>
      </c>
      <c r="T51" s="29"/>
    </row>
    <row r="52" spans="1:20" ht="31.5" customHeight="1">
      <c r="A52" s="3" t="s">
        <v>276</v>
      </c>
      <c r="B52" s="3">
        <v>6</v>
      </c>
      <c r="C52" s="3" t="s">
        <v>263</v>
      </c>
      <c r="D52" s="3" t="s">
        <v>277</v>
      </c>
      <c r="E52" s="3" t="s">
        <v>278</v>
      </c>
      <c r="F52" s="3" t="s">
        <v>275</v>
      </c>
      <c r="G52" s="3" t="s">
        <v>194</v>
      </c>
      <c r="H52" s="3" t="s">
        <v>118</v>
      </c>
      <c r="I52" s="3" t="s">
        <v>272</v>
      </c>
      <c r="J52" s="3" t="s">
        <v>88</v>
      </c>
      <c r="K52" s="3" t="s">
        <v>6</v>
      </c>
      <c r="L52" s="4">
        <f t="shared" si="1"/>
        <v>1</v>
      </c>
      <c r="M52" s="6">
        <v>46198</v>
      </c>
      <c r="N52" s="6">
        <v>46199</v>
      </c>
      <c r="O52" s="3" t="s">
        <v>89</v>
      </c>
      <c r="P52" s="3" t="s">
        <v>89</v>
      </c>
      <c r="Q52" s="3" t="s">
        <v>89</v>
      </c>
      <c r="R52" s="3" t="s">
        <v>89</v>
      </c>
      <c r="S52" s="3" t="s">
        <v>128</v>
      </c>
      <c r="T52" s="29"/>
    </row>
    <row r="53" spans="1:20" ht="31.5" customHeight="1">
      <c r="A53" s="3" t="s">
        <v>279</v>
      </c>
      <c r="B53" s="3">
        <v>6</v>
      </c>
      <c r="C53" s="3" t="s">
        <v>263</v>
      </c>
      <c r="D53" s="3" t="s">
        <v>280</v>
      </c>
      <c r="E53" s="3" t="s">
        <v>281</v>
      </c>
      <c r="F53" s="3" t="s">
        <v>282</v>
      </c>
      <c r="G53" s="3" t="s">
        <v>35</v>
      </c>
      <c r="H53" s="3" t="s">
        <v>99</v>
      </c>
      <c r="I53" s="3" t="s">
        <v>276</v>
      </c>
      <c r="J53" s="3" t="s">
        <v>88</v>
      </c>
      <c r="K53" s="3" t="s">
        <v>6</v>
      </c>
      <c r="L53" s="4">
        <f t="shared" si="1"/>
        <v>1</v>
      </c>
      <c r="M53" s="6">
        <v>46198</v>
      </c>
      <c r="N53" s="6">
        <v>46199</v>
      </c>
      <c r="O53" s="3" t="s">
        <v>89</v>
      </c>
      <c r="P53" s="3" t="s">
        <v>89</v>
      </c>
      <c r="Q53" s="3" t="s">
        <v>89</v>
      </c>
      <c r="R53" s="3" t="s">
        <v>89</v>
      </c>
      <c r="S53" s="3" t="s">
        <v>128</v>
      </c>
      <c r="T53" s="29"/>
    </row>
    <row r="54" spans="1:20" ht="31.5" customHeight="1">
      <c r="A54" s="3" t="s">
        <v>283</v>
      </c>
      <c r="B54" s="3">
        <v>6</v>
      </c>
      <c r="C54" s="3" t="s">
        <v>263</v>
      </c>
      <c r="D54" s="3" t="s">
        <v>284</v>
      </c>
      <c r="E54" s="3" t="s">
        <v>285</v>
      </c>
      <c r="F54" s="3" t="s">
        <v>286</v>
      </c>
      <c r="G54" s="3" t="s">
        <v>133</v>
      </c>
      <c r="H54" s="3" t="s">
        <v>99</v>
      </c>
      <c r="I54" s="3" t="s">
        <v>279</v>
      </c>
      <c r="J54" s="3" t="s">
        <v>88</v>
      </c>
      <c r="K54" s="3" t="s">
        <v>6</v>
      </c>
      <c r="L54" s="4">
        <f t="shared" si="1"/>
        <v>1</v>
      </c>
      <c r="M54" s="6">
        <v>46198</v>
      </c>
      <c r="N54" s="6">
        <v>46199</v>
      </c>
      <c r="O54" s="3" t="s">
        <v>89</v>
      </c>
      <c r="P54" s="3" t="s">
        <v>89</v>
      </c>
      <c r="Q54" s="3" t="s">
        <v>89</v>
      </c>
      <c r="R54" s="3" t="s">
        <v>89</v>
      </c>
      <c r="S54" s="3" t="s">
        <v>128</v>
      </c>
      <c r="T54" s="29"/>
    </row>
    <row r="55" spans="1:20" ht="31.5" customHeight="1">
      <c r="A55" s="3" t="s">
        <v>287</v>
      </c>
      <c r="B55" s="3">
        <v>6</v>
      </c>
      <c r="C55" s="3" t="s">
        <v>263</v>
      </c>
      <c r="D55" s="3" t="s">
        <v>288</v>
      </c>
      <c r="E55" s="3" t="s">
        <v>289</v>
      </c>
      <c r="F55" s="3" t="s">
        <v>282</v>
      </c>
      <c r="G55" s="3" t="s">
        <v>35</v>
      </c>
      <c r="H55" s="3" t="s">
        <v>118</v>
      </c>
      <c r="I55" s="3" t="s">
        <v>283</v>
      </c>
      <c r="J55" s="3" t="s">
        <v>88</v>
      </c>
      <c r="K55" s="3" t="s">
        <v>6</v>
      </c>
      <c r="L55" s="4">
        <f t="shared" si="1"/>
        <v>1</v>
      </c>
      <c r="M55" s="6">
        <v>46199</v>
      </c>
      <c r="N55" s="6">
        <v>46200</v>
      </c>
      <c r="O55" s="3" t="s">
        <v>89</v>
      </c>
      <c r="P55" s="3" t="s">
        <v>89</v>
      </c>
      <c r="Q55" s="3" t="s">
        <v>89</v>
      </c>
      <c r="R55" s="3" t="s">
        <v>89</v>
      </c>
      <c r="S55" s="3" t="s">
        <v>128</v>
      </c>
      <c r="T55" s="29"/>
    </row>
    <row r="56" spans="1:20" ht="31.5" customHeight="1">
      <c r="A56" s="3" t="s">
        <v>290</v>
      </c>
      <c r="B56" s="3">
        <v>6</v>
      </c>
      <c r="C56" s="3" t="s">
        <v>263</v>
      </c>
      <c r="D56" s="3" t="s">
        <v>291</v>
      </c>
      <c r="E56" s="3" t="s">
        <v>292</v>
      </c>
      <c r="F56" s="3" t="s">
        <v>293</v>
      </c>
      <c r="G56" s="3" t="s">
        <v>35</v>
      </c>
      <c r="H56" s="3" t="s">
        <v>118</v>
      </c>
      <c r="I56" s="3" t="s">
        <v>287</v>
      </c>
      <c r="J56" s="3" t="s">
        <v>88</v>
      </c>
      <c r="K56" s="3" t="s">
        <v>6</v>
      </c>
      <c r="L56" s="4">
        <f t="shared" si="1"/>
        <v>1</v>
      </c>
      <c r="M56" s="6">
        <v>46199</v>
      </c>
      <c r="N56" s="6">
        <v>46200</v>
      </c>
      <c r="O56" s="3" t="s">
        <v>89</v>
      </c>
      <c r="P56" s="3" t="s">
        <v>89</v>
      </c>
      <c r="Q56" s="3" t="s">
        <v>89</v>
      </c>
      <c r="R56" s="3" t="s">
        <v>89</v>
      </c>
      <c r="S56" s="3" t="s">
        <v>128</v>
      </c>
      <c r="T56" s="29"/>
    </row>
    <row r="57" spans="1:20" ht="31.5" customHeight="1">
      <c r="A57" s="3" t="s">
        <v>294</v>
      </c>
      <c r="B57" s="3">
        <v>7</v>
      </c>
      <c r="C57" s="3" t="s">
        <v>295</v>
      </c>
      <c r="D57" s="3" t="s">
        <v>296</v>
      </c>
      <c r="E57" s="3" t="s">
        <v>297</v>
      </c>
      <c r="F57" s="3" t="s">
        <v>298</v>
      </c>
      <c r="G57" s="3" t="s">
        <v>133</v>
      </c>
      <c r="H57" s="3" t="s">
        <v>87</v>
      </c>
      <c r="I57" s="3" t="s">
        <v>299</v>
      </c>
      <c r="J57" s="3" t="s">
        <v>88</v>
      </c>
      <c r="K57" s="3" t="s">
        <v>6</v>
      </c>
      <c r="L57" s="4">
        <f t="shared" si="1"/>
        <v>1</v>
      </c>
      <c r="M57" s="6">
        <v>46198</v>
      </c>
      <c r="N57" s="6">
        <v>46199</v>
      </c>
      <c r="O57" s="3" t="s">
        <v>89</v>
      </c>
      <c r="P57" s="3" t="s">
        <v>89</v>
      </c>
      <c r="Q57" s="3" t="s">
        <v>89</v>
      </c>
      <c r="R57" s="3" t="s">
        <v>89</v>
      </c>
      <c r="S57" s="3" t="s">
        <v>128</v>
      </c>
      <c r="T57" s="29" t="s">
        <v>300</v>
      </c>
    </row>
    <row r="58" spans="1:20" ht="31.5" customHeight="1">
      <c r="A58" s="3" t="s">
        <v>301</v>
      </c>
      <c r="B58" s="3">
        <v>7</v>
      </c>
      <c r="C58" s="3" t="s">
        <v>295</v>
      </c>
      <c r="D58" s="3" t="s">
        <v>302</v>
      </c>
      <c r="E58" s="3" t="s">
        <v>303</v>
      </c>
      <c r="F58" s="3" t="s">
        <v>298</v>
      </c>
      <c r="G58" s="3" t="s">
        <v>133</v>
      </c>
      <c r="H58" s="3" t="s">
        <v>99</v>
      </c>
      <c r="I58" s="3" t="s">
        <v>294</v>
      </c>
      <c r="J58" s="3" t="s">
        <v>88</v>
      </c>
      <c r="K58" s="3" t="s">
        <v>6</v>
      </c>
      <c r="L58" s="4">
        <f t="shared" si="1"/>
        <v>1</v>
      </c>
      <c r="M58" s="6">
        <v>46198</v>
      </c>
      <c r="N58" s="6">
        <v>46199</v>
      </c>
      <c r="O58" s="3" t="s">
        <v>89</v>
      </c>
      <c r="P58" s="3" t="s">
        <v>89</v>
      </c>
      <c r="Q58" s="3" t="s">
        <v>89</v>
      </c>
      <c r="R58" s="3" t="s">
        <v>89</v>
      </c>
      <c r="S58" s="3" t="s">
        <v>128</v>
      </c>
      <c r="T58" s="29"/>
    </row>
    <row r="59" spans="1:20" ht="31.5" customHeight="1">
      <c r="A59" s="3" t="s">
        <v>304</v>
      </c>
      <c r="B59" s="3">
        <v>7</v>
      </c>
      <c r="C59" s="3" t="s">
        <v>295</v>
      </c>
      <c r="D59" s="3" t="s">
        <v>305</v>
      </c>
      <c r="E59" s="3" t="s">
        <v>306</v>
      </c>
      <c r="F59" s="3" t="s">
        <v>298</v>
      </c>
      <c r="G59" s="3" t="s">
        <v>133</v>
      </c>
      <c r="H59" s="3" t="s">
        <v>99</v>
      </c>
      <c r="I59" s="3" t="s">
        <v>301</v>
      </c>
      <c r="J59" s="3" t="s">
        <v>88</v>
      </c>
      <c r="K59" s="3" t="s">
        <v>6</v>
      </c>
      <c r="L59" s="4">
        <f t="shared" si="1"/>
        <v>1</v>
      </c>
      <c r="M59" s="6">
        <v>46198</v>
      </c>
      <c r="N59" s="6">
        <v>46199</v>
      </c>
      <c r="O59" s="3" t="s">
        <v>89</v>
      </c>
      <c r="P59" s="3" t="s">
        <v>89</v>
      </c>
      <c r="Q59" s="3" t="s">
        <v>89</v>
      </c>
      <c r="R59" s="3" t="s">
        <v>89</v>
      </c>
      <c r="S59" s="3" t="s">
        <v>128</v>
      </c>
      <c r="T59" s="29"/>
    </row>
    <row r="60" spans="1:20" ht="31.5" customHeight="1">
      <c r="A60" s="3" t="s">
        <v>307</v>
      </c>
      <c r="B60" s="3">
        <v>7</v>
      </c>
      <c r="C60" s="3" t="s">
        <v>295</v>
      </c>
      <c r="D60" s="3" t="s">
        <v>308</v>
      </c>
      <c r="E60" s="3" t="s">
        <v>309</v>
      </c>
      <c r="F60" s="3" t="s">
        <v>298</v>
      </c>
      <c r="G60" s="3" t="s">
        <v>133</v>
      </c>
      <c r="H60" s="3" t="s">
        <v>87</v>
      </c>
      <c r="I60" s="3" t="s">
        <v>304</v>
      </c>
      <c r="J60" s="3" t="s">
        <v>88</v>
      </c>
      <c r="K60" s="3" t="s">
        <v>6</v>
      </c>
      <c r="L60" s="4">
        <f t="shared" si="1"/>
        <v>1</v>
      </c>
      <c r="M60" s="6">
        <v>46199</v>
      </c>
      <c r="N60" s="6">
        <v>46200</v>
      </c>
      <c r="O60" s="3" t="s">
        <v>89</v>
      </c>
      <c r="P60" s="3" t="s">
        <v>89</v>
      </c>
      <c r="Q60" s="3" t="s">
        <v>89</v>
      </c>
      <c r="R60" s="3" t="s">
        <v>89</v>
      </c>
      <c r="S60" s="3" t="s">
        <v>128</v>
      </c>
      <c r="T60" s="29" t="s">
        <v>310</v>
      </c>
    </row>
    <row r="61" spans="1:20" ht="31.5" customHeight="1">
      <c r="A61" s="3" t="s">
        <v>311</v>
      </c>
      <c r="B61" s="3">
        <v>7</v>
      </c>
      <c r="C61" s="3" t="s">
        <v>295</v>
      </c>
      <c r="D61" s="3" t="s">
        <v>312</v>
      </c>
      <c r="E61" s="3" t="s">
        <v>313</v>
      </c>
      <c r="F61" s="3" t="s">
        <v>298</v>
      </c>
      <c r="G61" s="3" t="s">
        <v>133</v>
      </c>
      <c r="H61" s="3" t="s">
        <v>118</v>
      </c>
      <c r="I61" s="3" t="s">
        <v>307</v>
      </c>
      <c r="J61" s="3" t="s">
        <v>88</v>
      </c>
      <c r="K61" s="3" t="s">
        <v>6</v>
      </c>
      <c r="L61" s="4">
        <f t="shared" si="1"/>
        <v>1</v>
      </c>
      <c r="M61" s="6">
        <v>46199</v>
      </c>
      <c r="N61" s="6">
        <v>46200</v>
      </c>
      <c r="O61" s="3" t="s">
        <v>89</v>
      </c>
      <c r="P61" s="3" t="s">
        <v>89</v>
      </c>
      <c r="Q61" s="3" t="s">
        <v>89</v>
      </c>
      <c r="R61" s="3" t="s">
        <v>89</v>
      </c>
      <c r="S61" s="3" t="s">
        <v>128</v>
      </c>
      <c r="T61" s="29"/>
    </row>
    <row r="62" spans="1:20" ht="31.5" customHeight="1">
      <c r="A62" s="3" t="s">
        <v>314</v>
      </c>
      <c r="B62" s="3">
        <v>7</v>
      </c>
      <c r="C62" s="3" t="s">
        <v>295</v>
      </c>
      <c r="D62" s="3" t="s">
        <v>315</v>
      </c>
      <c r="E62" s="3" t="s">
        <v>316</v>
      </c>
      <c r="F62" s="3" t="s">
        <v>298</v>
      </c>
      <c r="G62" s="3" t="s">
        <v>133</v>
      </c>
      <c r="H62" s="3" t="s">
        <v>99</v>
      </c>
      <c r="I62" s="3" t="s">
        <v>311</v>
      </c>
      <c r="J62" s="3" t="s">
        <v>88</v>
      </c>
      <c r="K62" s="3" t="s">
        <v>6</v>
      </c>
      <c r="L62" s="4">
        <f t="shared" si="1"/>
        <v>1</v>
      </c>
      <c r="M62" s="6">
        <v>46199</v>
      </c>
      <c r="N62" s="6">
        <v>46200</v>
      </c>
      <c r="O62" s="3" t="s">
        <v>89</v>
      </c>
      <c r="P62" s="3" t="s">
        <v>89</v>
      </c>
      <c r="Q62" s="3" t="s">
        <v>89</v>
      </c>
      <c r="R62" s="3" t="s">
        <v>89</v>
      </c>
      <c r="S62" s="3" t="s">
        <v>128</v>
      </c>
      <c r="T62" s="29"/>
    </row>
    <row r="63" spans="1:20" ht="31.5" customHeight="1">
      <c r="A63" s="3" t="s">
        <v>317</v>
      </c>
      <c r="B63" s="3">
        <v>7</v>
      </c>
      <c r="C63" s="3" t="s">
        <v>295</v>
      </c>
      <c r="D63" s="3" t="s">
        <v>318</v>
      </c>
      <c r="E63" s="3" t="s">
        <v>319</v>
      </c>
      <c r="F63" s="3" t="s">
        <v>298</v>
      </c>
      <c r="G63" s="3" t="s">
        <v>133</v>
      </c>
      <c r="H63" s="3" t="s">
        <v>87</v>
      </c>
      <c r="I63" s="3" t="s">
        <v>314</v>
      </c>
      <c r="J63" s="3" t="s">
        <v>88</v>
      </c>
      <c r="K63" s="3" t="s">
        <v>6</v>
      </c>
      <c r="L63" s="4">
        <f t="shared" si="1"/>
        <v>1</v>
      </c>
      <c r="M63" s="6">
        <v>46200</v>
      </c>
      <c r="N63" s="6">
        <v>46201</v>
      </c>
      <c r="O63" s="3" t="s">
        <v>89</v>
      </c>
      <c r="P63" s="3" t="s">
        <v>89</v>
      </c>
      <c r="Q63" s="3" t="s">
        <v>89</v>
      </c>
      <c r="R63" s="3" t="s">
        <v>89</v>
      </c>
      <c r="S63" s="3" t="s">
        <v>128</v>
      </c>
      <c r="T63" s="29"/>
    </row>
    <row r="64" spans="1:20" ht="31.5" customHeight="1">
      <c r="A64" s="3" t="s">
        <v>320</v>
      </c>
      <c r="B64" s="3">
        <v>7</v>
      </c>
      <c r="C64" s="3" t="s">
        <v>295</v>
      </c>
      <c r="D64" s="3" t="s">
        <v>321</v>
      </c>
      <c r="E64" s="3" t="s">
        <v>322</v>
      </c>
      <c r="F64" s="3" t="s">
        <v>298</v>
      </c>
      <c r="G64" s="3" t="s">
        <v>133</v>
      </c>
      <c r="H64" s="3" t="s">
        <v>99</v>
      </c>
      <c r="I64" s="3" t="s">
        <v>317</v>
      </c>
      <c r="J64" s="3" t="s">
        <v>88</v>
      </c>
      <c r="K64" s="3" t="s">
        <v>6</v>
      </c>
      <c r="L64" s="4">
        <f t="shared" si="1"/>
        <v>1</v>
      </c>
      <c r="M64" s="6">
        <v>46200</v>
      </c>
      <c r="N64" s="6">
        <v>46201</v>
      </c>
      <c r="O64" s="3" t="s">
        <v>89</v>
      </c>
      <c r="P64" s="3" t="s">
        <v>89</v>
      </c>
      <c r="Q64" s="3" t="s">
        <v>89</v>
      </c>
      <c r="R64" s="3" t="s">
        <v>89</v>
      </c>
      <c r="S64" s="3" t="s">
        <v>128</v>
      </c>
      <c r="T64" s="29"/>
    </row>
    <row r="65" spans="1:20" ht="31.5" customHeight="1">
      <c r="A65" s="3" t="s">
        <v>323</v>
      </c>
      <c r="B65" s="3">
        <v>7</v>
      </c>
      <c r="C65" s="3" t="s">
        <v>295</v>
      </c>
      <c r="D65" s="3" t="s">
        <v>324</v>
      </c>
      <c r="E65" s="3" t="s">
        <v>325</v>
      </c>
      <c r="F65" s="3" t="s">
        <v>298</v>
      </c>
      <c r="G65" s="3" t="s">
        <v>35</v>
      </c>
      <c r="H65" s="3" t="s">
        <v>118</v>
      </c>
      <c r="I65" s="3" t="s">
        <v>320</v>
      </c>
      <c r="J65" s="3" t="s">
        <v>88</v>
      </c>
      <c r="K65" s="3" t="s">
        <v>6</v>
      </c>
      <c r="L65" s="4">
        <f t="shared" si="1"/>
        <v>1</v>
      </c>
      <c r="M65" s="6">
        <v>46200</v>
      </c>
      <c r="N65" s="6">
        <v>46201</v>
      </c>
      <c r="O65" s="3" t="s">
        <v>89</v>
      </c>
      <c r="P65" s="3" t="s">
        <v>89</v>
      </c>
      <c r="Q65" s="3" t="s">
        <v>89</v>
      </c>
      <c r="R65" s="3" t="s">
        <v>89</v>
      </c>
      <c r="S65" s="3" t="s">
        <v>128</v>
      </c>
      <c r="T65" s="29"/>
    </row>
    <row r="66" spans="1:20" ht="31.5" customHeight="1">
      <c r="A66" s="3" t="s">
        <v>326</v>
      </c>
      <c r="B66" s="3">
        <v>7</v>
      </c>
      <c r="C66" s="3" t="s">
        <v>295</v>
      </c>
      <c r="D66" s="3" t="s">
        <v>327</v>
      </c>
      <c r="E66" s="3" t="s">
        <v>328</v>
      </c>
      <c r="F66" s="3" t="s">
        <v>298</v>
      </c>
      <c r="G66" s="3" t="s">
        <v>133</v>
      </c>
      <c r="H66" s="3" t="s">
        <v>87</v>
      </c>
      <c r="I66" s="3" t="s">
        <v>323</v>
      </c>
      <c r="J66" s="3" t="s">
        <v>88</v>
      </c>
      <c r="K66" s="3" t="s">
        <v>6</v>
      </c>
      <c r="L66" s="4">
        <f t="shared" si="1"/>
        <v>1</v>
      </c>
      <c r="M66" s="6">
        <v>46201</v>
      </c>
      <c r="N66" s="6">
        <v>46202</v>
      </c>
      <c r="O66" s="3" t="s">
        <v>89</v>
      </c>
      <c r="P66" s="3" t="s">
        <v>89</v>
      </c>
      <c r="Q66" s="3" t="s">
        <v>89</v>
      </c>
      <c r="R66" s="3" t="s">
        <v>89</v>
      </c>
      <c r="S66" s="3" t="s">
        <v>128</v>
      </c>
      <c r="T66" s="29"/>
    </row>
    <row r="67" spans="1:20" ht="31.5" customHeight="1">
      <c r="A67" s="3" t="s">
        <v>329</v>
      </c>
      <c r="B67" s="3">
        <v>7</v>
      </c>
      <c r="C67" s="3" t="s">
        <v>295</v>
      </c>
      <c r="D67" s="3" t="s">
        <v>330</v>
      </c>
      <c r="E67" s="3" t="s">
        <v>331</v>
      </c>
      <c r="F67" s="3" t="s">
        <v>298</v>
      </c>
      <c r="G67" s="3" t="s">
        <v>133</v>
      </c>
      <c r="H67" s="3" t="s">
        <v>99</v>
      </c>
      <c r="I67" s="3" t="s">
        <v>326</v>
      </c>
      <c r="J67" s="3" t="s">
        <v>88</v>
      </c>
      <c r="K67" s="3" t="s">
        <v>6</v>
      </c>
      <c r="L67" s="4">
        <f t="shared" si="1"/>
        <v>1</v>
      </c>
      <c r="M67" s="6">
        <v>46201</v>
      </c>
      <c r="N67" s="6">
        <v>46202</v>
      </c>
      <c r="O67" s="3" t="s">
        <v>89</v>
      </c>
      <c r="P67" s="3" t="s">
        <v>89</v>
      </c>
      <c r="Q67" s="3" t="s">
        <v>89</v>
      </c>
      <c r="R67" s="3" t="s">
        <v>89</v>
      </c>
      <c r="S67" s="3" t="s">
        <v>128</v>
      </c>
      <c r="T67" s="29"/>
    </row>
    <row r="68" spans="1:20" ht="31.5" customHeight="1">
      <c r="A68" s="3" t="s">
        <v>332</v>
      </c>
      <c r="B68" s="3">
        <v>7</v>
      </c>
      <c r="C68" s="3" t="s">
        <v>295</v>
      </c>
      <c r="D68" s="3" t="s">
        <v>333</v>
      </c>
      <c r="E68" s="3" t="s">
        <v>334</v>
      </c>
      <c r="F68" s="3" t="s">
        <v>298</v>
      </c>
      <c r="G68" s="3" t="s">
        <v>133</v>
      </c>
      <c r="H68" s="3" t="s">
        <v>99</v>
      </c>
      <c r="I68" s="3" t="s">
        <v>329</v>
      </c>
      <c r="J68" s="3" t="s">
        <v>88</v>
      </c>
      <c r="K68" s="3" t="s">
        <v>6</v>
      </c>
      <c r="L68" s="4">
        <f t="shared" si="1"/>
        <v>1</v>
      </c>
      <c r="M68" s="6">
        <v>46201</v>
      </c>
      <c r="N68" s="6">
        <v>46202</v>
      </c>
      <c r="O68" s="3" t="s">
        <v>89</v>
      </c>
      <c r="P68" s="3" t="s">
        <v>89</v>
      </c>
      <c r="Q68" s="3" t="s">
        <v>89</v>
      </c>
      <c r="R68" s="3" t="s">
        <v>89</v>
      </c>
      <c r="S68" s="3" t="s">
        <v>128</v>
      </c>
      <c r="T68" s="29"/>
    </row>
    <row r="69" spans="1:20" ht="31.5" customHeight="1">
      <c r="A69" s="3" t="s">
        <v>335</v>
      </c>
      <c r="B69" s="3">
        <v>8</v>
      </c>
      <c r="C69" s="3" t="s">
        <v>336</v>
      </c>
      <c r="D69" s="3" t="s">
        <v>337</v>
      </c>
      <c r="E69" s="3" t="s">
        <v>338</v>
      </c>
      <c r="F69" s="3" t="s">
        <v>339</v>
      </c>
      <c r="G69" s="3" t="s">
        <v>340</v>
      </c>
      <c r="H69" s="3" t="s">
        <v>87</v>
      </c>
      <c r="I69" s="3" t="s">
        <v>341</v>
      </c>
      <c r="J69" s="3" t="s">
        <v>88</v>
      </c>
      <c r="K69" s="3" t="s">
        <v>6</v>
      </c>
      <c r="L69" s="4">
        <f t="shared" si="1"/>
        <v>1</v>
      </c>
      <c r="M69" s="6">
        <v>46200</v>
      </c>
      <c r="N69" s="6">
        <v>46201</v>
      </c>
      <c r="O69" s="3" t="s">
        <v>89</v>
      </c>
      <c r="P69" s="3" t="s">
        <v>89</v>
      </c>
      <c r="Q69" s="3" t="s">
        <v>89</v>
      </c>
      <c r="R69" s="3" t="s">
        <v>89</v>
      </c>
      <c r="S69" s="3" t="s">
        <v>128</v>
      </c>
      <c r="T69" s="29" t="s">
        <v>342</v>
      </c>
    </row>
    <row r="70" spans="1:20" ht="31.5" customHeight="1">
      <c r="A70" s="3" t="s">
        <v>343</v>
      </c>
      <c r="B70" s="3">
        <v>8</v>
      </c>
      <c r="C70" s="3" t="s">
        <v>336</v>
      </c>
      <c r="D70" s="3" t="s">
        <v>344</v>
      </c>
      <c r="E70" s="3" t="s">
        <v>345</v>
      </c>
      <c r="F70" s="3" t="s">
        <v>346</v>
      </c>
      <c r="G70" s="3" t="s">
        <v>340</v>
      </c>
      <c r="H70" s="3" t="s">
        <v>99</v>
      </c>
      <c r="I70" s="3" t="s">
        <v>335</v>
      </c>
      <c r="J70" s="3" t="s">
        <v>88</v>
      </c>
      <c r="K70" s="3" t="s">
        <v>6</v>
      </c>
      <c r="L70" s="4">
        <f t="shared" ref="L70:L101" si="2">IF(K70="Hoàn thành",1,IF(K70="Đang làm",0.5,IF(K70="Rủi ro",0.25,IF(K70="Tạm dừng",0.1,0))))</f>
        <v>1</v>
      </c>
      <c r="M70" s="6">
        <v>46200</v>
      </c>
      <c r="N70" s="6">
        <v>46201</v>
      </c>
      <c r="O70" s="3" t="s">
        <v>89</v>
      </c>
      <c r="P70" s="3" t="s">
        <v>89</v>
      </c>
      <c r="Q70" s="3" t="s">
        <v>89</v>
      </c>
      <c r="R70" s="3" t="s">
        <v>89</v>
      </c>
      <c r="S70" s="3" t="s">
        <v>128</v>
      </c>
      <c r="T70" s="29" t="s">
        <v>347</v>
      </c>
    </row>
    <row r="71" spans="1:20" ht="31.5" customHeight="1">
      <c r="A71" s="3" t="s">
        <v>348</v>
      </c>
      <c r="B71" s="3">
        <v>8</v>
      </c>
      <c r="C71" s="3" t="s">
        <v>336</v>
      </c>
      <c r="D71" s="3" t="s">
        <v>349</v>
      </c>
      <c r="E71" s="3" t="s">
        <v>350</v>
      </c>
      <c r="F71" s="3" t="s">
        <v>346</v>
      </c>
      <c r="G71" s="3" t="s">
        <v>133</v>
      </c>
      <c r="H71" s="3" t="s">
        <v>99</v>
      </c>
      <c r="I71" s="3" t="s">
        <v>343</v>
      </c>
      <c r="J71" s="3" t="s">
        <v>88</v>
      </c>
      <c r="K71" s="3" t="s">
        <v>6</v>
      </c>
      <c r="L71" s="4">
        <f t="shared" si="2"/>
        <v>1</v>
      </c>
      <c r="M71" s="6">
        <v>46201</v>
      </c>
      <c r="N71" s="6">
        <v>46202</v>
      </c>
      <c r="O71" s="3" t="s">
        <v>89</v>
      </c>
      <c r="P71" s="3" t="s">
        <v>89</v>
      </c>
      <c r="Q71" s="3" t="s">
        <v>89</v>
      </c>
      <c r="R71" s="3" t="s">
        <v>89</v>
      </c>
      <c r="S71" s="3" t="s">
        <v>128</v>
      </c>
      <c r="T71" s="29" t="s">
        <v>351</v>
      </c>
    </row>
    <row r="72" spans="1:20" ht="31.5" customHeight="1">
      <c r="A72" s="3" t="s">
        <v>352</v>
      </c>
      <c r="B72" s="3">
        <v>8</v>
      </c>
      <c r="C72" s="3" t="s">
        <v>336</v>
      </c>
      <c r="D72" s="3" t="s">
        <v>353</v>
      </c>
      <c r="E72" s="3" t="s">
        <v>354</v>
      </c>
      <c r="F72" s="3" t="s">
        <v>298</v>
      </c>
      <c r="G72" s="3" t="s">
        <v>133</v>
      </c>
      <c r="H72" s="3" t="s">
        <v>118</v>
      </c>
      <c r="I72" s="3" t="s">
        <v>348</v>
      </c>
      <c r="J72" s="3" t="s">
        <v>88</v>
      </c>
      <c r="K72" s="3" t="s">
        <v>6</v>
      </c>
      <c r="L72" s="4">
        <f t="shared" si="2"/>
        <v>1</v>
      </c>
      <c r="M72" s="6">
        <v>46201</v>
      </c>
      <c r="N72" s="6">
        <v>46202</v>
      </c>
      <c r="O72" s="3" t="s">
        <v>89</v>
      </c>
      <c r="P72" s="3" t="s">
        <v>89</v>
      </c>
      <c r="Q72" s="3" t="s">
        <v>89</v>
      </c>
      <c r="R72" s="3" t="s">
        <v>89</v>
      </c>
      <c r="S72" s="3" t="s">
        <v>128</v>
      </c>
      <c r="T72" s="29" t="s">
        <v>355</v>
      </c>
    </row>
    <row r="73" spans="1:20" ht="31.5" customHeight="1">
      <c r="A73" s="3" t="s">
        <v>356</v>
      </c>
      <c r="B73" s="3">
        <v>8</v>
      </c>
      <c r="C73" s="3" t="s">
        <v>336</v>
      </c>
      <c r="D73" s="3" t="s">
        <v>357</v>
      </c>
      <c r="E73" s="3" t="s">
        <v>358</v>
      </c>
      <c r="F73" s="3" t="s">
        <v>359</v>
      </c>
      <c r="G73" s="3" t="s">
        <v>133</v>
      </c>
      <c r="H73" s="3" t="s">
        <v>99</v>
      </c>
      <c r="I73" s="3" t="s">
        <v>352</v>
      </c>
      <c r="J73" s="3" t="s">
        <v>88</v>
      </c>
      <c r="K73" s="3" t="s">
        <v>6</v>
      </c>
      <c r="L73" s="4">
        <f t="shared" si="2"/>
        <v>1</v>
      </c>
      <c r="M73" s="6">
        <v>46202</v>
      </c>
      <c r="N73" s="6">
        <v>46203</v>
      </c>
      <c r="O73" s="3" t="s">
        <v>89</v>
      </c>
      <c r="P73" s="3" t="s">
        <v>89</v>
      </c>
      <c r="Q73" s="3" t="s">
        <v>89</v>
      </c>
      <c r="R73" s="3" t="s">
        <v>89</v>
      </c>
      <c r="S73" s="3" t="s">
        <v>128</v>
      </c>
      <c r="T73" s="29"/>
    </row>
    <row r="74" spans="1:20" ht="31.5" customHeight="1">
      <c r="A74" s="3" t="s">
        <v>360</v>
      </c>
      <c r="B74" s="3">
        <v>8</v>
      </c>
      <c r="C74" s="3" t="s">
        <v>336</v>
      </c>
      <c r="D74" s="3" t="s">
        <v>361</v>
      </c>
      <c r="E74" s="3" t="s">
        <v>362</v>
      </c>
      <c r="F74" s="3" t="s">
        <v>359</v>
      </c>
      <c r="G74" s="3" t="s">
        <v>133</v>
      </c>
      <c r="H74" s="3" t="s">
        <v>118</v>
      </c>
      <c r="I74" s="3" t="s">
        <v>356</v>
      </c>
      <c r="J74" s="3" t="s">
        <v>88</v>
      </c>
      <c r="K74" s="3" t="s">
        <v>6</v>
      </c>
      <c r="L74" s="4">
        <f t="shared" si="2"/>
        <v>1</v>
      </c>
      <c r="M74" s="6">
        <v>46202</v>
      </c>
      <c r="N74" s="6">
        <v>46203</v>
      </c>
      <c r="O74" s="3" t="s">
        <v>89</v>
      </c>
      <c r="P74" s="3" t="s">
        <v>89</v>
      </c>
      <c r="Q74" s="3" t="s">
        <v>89</v>
      </c>
      <c r="R74" s="3" t="s">
        <v>89</v>
      </c>
      <c r="S74" s="3" t="s">
        <v>128</v>
      </c>
      <c r="T74" s="29"/>
    </row>
    <row r="75" spans="1:20" ht="31.5" customHeight="1">
      <c r="A75" s="3" t="s">
        <v>363</v>
      </c>
      <c r="B75" s="3">
        <v>9</v>
      </c>
      <c r="C75" s="3" t="s">
        <v>50</v>
      </c>
      <c r="D75" s="3" t="s">
        <v>364</v>
      </c>
      <c r="E75" s="3" t="s">
        <v>365</v>
      </c>
      <c r="F75" s="3" t="s">
        <v>366</v>
      </c>
      <c r="G75" s="3" t="s">
        <v>50</v>
      </c>
      <c r="H75" s="3" t="s">
        <v>99</v>
      </c>
      <c r="I75" s="3" t="s">
        <v>367</v>
      </c>
      <c r="J75" s="3" t="s">
        <v>119</v>
      </c>
      <c r="K75" s="3" t="s">
        <v>10</v>
      </c>
      <c r="L75" s="4">
        <f t="shared" si="2"/>
        <v>0</v>
      </c>
      <c r="M75" s="6">
        <v>46199</v>
      </c>
      <c r="N75" s="6">
        <v>46200</v>
      </c>
      <c r="O75" s="3" t="s">
        <v>368</v>
      </c>
      <c r="P75" s="3" t="s">
        <v>368</v>
      </c>
      <c r="Q75" s="3" t="s">
        <v>368</v>
      </c>
      <c r="R75" s="3" t="s">
        <v>368</v>
      </c>
      <c r="S75" s="29" t="s">
        <v>369</v>
      </c>
      <c r="T75" s="29" t="s">
        <v>370</v>
      </c>
    </row>
    <row r="76" spans="1:20" ht="31.5" customHeight="1">
      <c r="A76" s="3" t="s">
        <v>371</v>
      </c>
      <c r="B76" s="3">
        <v>9</v>
      </c>
      <c r="C76" s="3" t="s">
        <v>50</v>
      </c>
      <c r="D76" s="3" t="s">
        <v>372</v>
      </c>
      <c r="E76" s="3" t="s">
        <v>373</v>
      </c>
      <c r="F76" s="3" t="s">
        <v>374</v>
      </c>
      <c r="G76" s="3" t="s">
        <v>50</v>
      </c>
      <c r="H76" s="3" t="s">
        <v>99</v>
      </c>
      <c r="I76" s="3" t="s">
        <v>363</v>
      </c>
      <c r="J76" s="3" t="s">
        <v>119</v>
      </c>
      <c r="K76" s="3" t="s">
        <v>10</v>
      </c>
      <c r="L76" s="4">
        <f t="shared" si="2"/>
        <v>0</v>
      </c>
      <c r="M76" s="6">
        <v>46199</v>
      </c>
      <c r="N76" s="6">
        <v>46200</v>
      </c>
      <c r="O76" s="3" t="s">
        <v>368</v>
      </c>
      <c r="P76" s="3" t="s">
        <v>368</v>
      </c>
      <c r="Q76" s="3" t="s">
        <v>368</v>
      </c>
      <c r="R76" s="3" t="s">
        <v>368</v>
      </c>
      <c r="S76" s="29" t="s">
        <v>375</v>
      </c>
      <c r="T76" s="29"/>
    </row>
    <row r="77" spans="1:20" ht="31.5" customHeight="1">
      <c r="A77" s="3" t="s">
        <v>376</v>
      </c>
      <c r="B77" s="3">
        <v>9</v>
      </c>
      <c r="C77" s="3" t="s">
        <v>50</v>
      </c>
      <c r="D77" s="3" t="s">
        <v>377</v>
      </c>
      <c r="E77" s="3" t="s">
        <v>378</v>
      </c>
      <c r="F77" s="3" t="s">
        <v>379</v>
      </c>
      <c r="G77" s="3" t="s">
        <v>50</v>
      </c>
      <c r="H77" s="3" t="s">
        <v>99</v>
      </c>
      <c r="I77" s="3" t="s">
        <v>371</v>
      </c>
      <c r="J77" s="3" t="s">
        <v>119</v>
      </c>
      <c r="K77" s="3" t="s">
        <v>10</v>
      </c>
      <c r="L77" s="4">
        <f t="shared" si="2"/>
        <v>0</v>
      </c>
      <c r="M77" s="6">
        <v>46200</v>
      </c>
      <c r="N77" s="6">
        <v>46201</v>
      </c>
      <c r="O77" s="3" t="s">
        <v>368</v>
      </c>
      <c r="P77" s="3" t="s">
        <v>368</v>
      </c>
      <c r="Q77" s="3" t="s">
        <v>368</v>
      </c>
      <c r="R77" s="3" t="s">
        <v>368</v>
      </c>
      <c r="S77" s="29" t="s">
        <v>380</v>
      </c>
      <c r="T77" s="29"/>
    </row>
    <row r="78" spans="1:20" ht="31.5" customHeight="1">
      <c r="A78" s="3" t="s">
        <v>381</v>
      </c>
      <c r="B78" s="3">
        <v>9</v>
      </c>
      <c r="C78" s="3" t="s">
        <v>50</v>
      </c>
      <c r="D78" s="3" t="s">
        <v>382</v>
      </c>
      <c r="E78" s="3" t="s">
        <v>383</v>
      </c>
      <c r="F78" s="3" t="s">
        <v>384</v>
      </c>
      <c r="G78" s="3" t="s">
        <v>50</v>
      </c>
      <c r="H78" s="3" t="s">
        <v>99</v>
      </c>
      <c r="I78" s="3" t="s">
        <v>376</v>
      </c>
      <c r="J78" s="3" t="s">
        <v>119</v>
      </c>
      <c r="K78" s="3" t="s">
        <v>10</v>
      </c>
      <c r="L78" s="4">
        <f t="shared" si="2"/>
        <v>0</v>
      </c>
      <c r="M78" s="6">
        <v>46200</v>
      </c>
      <c r="N78" s="6">
        <v>46201</v>
      </c>
      <c r="O78" s="3" t="s">
        <v>368</v>
      </c>
      <c r="P78" s="3" t="s">
        <v>368</v>
      </c>
      <c r="Q78" s="3" t="s">
        <v>368</v>
      </c>
      <c r="R78" s="3" t="s">
        <v>368</v>
      </c>
      <c r="S78" s="29" t="s">
        <v>380</v>
      </c>
      <c r="T78" s="29"/>
    </row>
    <row r="79" spans="1:20" ht="31.5" customHeight="1">
      <c r="A79" s="3" t="s">
        <v>385</v>
      </c>
      <c r="B79" s="3">
        <v>9</v>
      </c>
      <c r="C79" s="3" t="s">
        <v>50</v>
      </c>
      <c r="D79" s="3" t="s">
        <v>386</v>
      </c>
      <c r="E79" s="3" t="s">
        <v>387</v>
      </c>
      <c r="F79" s="3" t="s">
        <v>388</v>
      </c>
      <c r="G79" s="3" t="s">
        <v>50</v>
      </c>
      <c r="H79" s="3" t="s">
        <v>99</v>
      </c>
      <c r="I79" s="3" t="s">
        <v>381</v>
      </c>
      <c r="J79" s="3" t="s">
        <v>119</v>
      </c>
      <c r="K79" s="3" t="s">
        <v>10</v>
      </c>
      <c r="L79" s="4">
        <f t="shared" si="2"/>
        <v>0</v>
      </c>
      <c r="M79" s="6">
        <v>46201</v>
      </c>
      <c r="N79" s="6">
        <v>46202</v>
      </c>
      <c r="O79" s="3" t="s">
        <v>368</v>
      </c>
      <c r="P79" s="3" t="s">
        <v>368</v>
      </c>
      <c r="Q79" s="3" t="s">
        <v>368</v>
      </c>
      <c r="R79" s="3" t="s">
        <v>368</v>
      </c>
      <c r="S79" s="29" t="s">
        <v>380</v>
      </c>
      <c r="T79" s="29"/>
    </row>
    <row r="80" spans="1:20" ht="31.5" customHeight="1">
      <c r="A80" s="3" t="s">
        <v>389</v>
      </c>
      <c r="B80" s="3">
        <v>9</v>
      </c>
      <c r="C80" s="3" t="s">
        <v>50</v>
      </c>
      <c r="D80" s="3" t="s">
        <v>390</v>
      </c>
      <c r="E80" s="3" t="s">
        <v>391</v>
      </c>
      <c r="F80" s="3" t="s">
        <v>392</v>
      </c>
      <c r="G80" s="3" t="s">
        <v>50</v>
      </c>
      <c r="H80" s="3" t="s">
        <v>118</v>
      </c>
      <c r="I80" s="3" t="s">
        <v>385</v>
      </c>
      <c r="J80" s="3" t="s">
        <v>119</v>
      </c>
      <c r="K80" s="3" t="s">
        <v>10</v>
      </c>
      <c r="L80" s="4">
        <f t="shared" si="2"/>
        <v>0</v>
      </c>
      <c r="M80" s="6">
        <v>46201</v>
      </c>
      <c r="N80" s="6">
        <v>46202</v>
      </c>
      <c r="O80" s="3" t="s">
        <v>368</v>
      </c>
      <c r="P80" s="3" t="s">
        <v>368</v>
      </c>
      <c r="Q80" s="3" t="s">
        <v>368</v>
      </c>
      <c r="R80" s="3" t="s">
        <v>368</v>
      </c>
      <c r="S80" s="29" t="s">
        <v>380</v>
      </c>
      <c r="T80" s="29"/>
    </row>
    <row r="81" spans="1:20" ht="31.5" customHeight="1">
      <c r="A81" s="3" t="s">
        <v>393</v>
      </c>
      <c r="B81" s="3">
        <v>9</v>
      </c>
      <c r="C81" s="3" t="s">
        <v>50</v>
      </c>
      <c r="D81" s="3" t="s">
        <v>394</v>
      </c>
      <c r="E81" s="3" t="s">
        <v>395</v>
      </c>
      <c r="F81" s="3" t="s">
        <v>396</v>
      </c>
      <c r="G81" s="3" t="s">
        <v>50</v>
      </c>
      <c r="H81" s="3" t="s">
        <v>118</v>
      </c>
      <c r="I81" s="3" t="s">
        <v>389</v>
      </c>
      <c r="J81" s="3" t="s">
        <v>119</v>
      </c>
      <c r="K81" s="3" t="s">
        <v>10</v>
      </c>
      <c r="L81" s="4">
        <f t="shared" si="2"/>
        <v>0</v>
      </c>
      <c r="M81" s="6">
        <v>46202</v>
      </c>
      <c r="N81" s="6">
        <v>46203</v>
      </c>
      <c r="O81" s="3" t="s">
        <v>368</v>
      </c>
      <c r="P81" s="3" t="s">
        <v>368</v>
      </c>
      <c r="Q81" s="3" t="s">
        <v>368</v>
      </c>
      <c r="R81" s="3" t="s">
        <v>368</v>
      </c>
      <c r="S81" s="29" t="s">
        <v>397</v>
      </c>
      <c r="T81" s="29"/>
    </row>
    <row r="82" spans="1:20" ht="31.5" customHeight="1">
      <c r="A82" s="3" t="s">
        <v>398</v>
      </c>
      <c r="B82" s="3">
        <v>9</v>
      </c>
      <c r="C82" s="3" t="s">
        <v>50</v>
      </c>
      <c r="D82" s="3" t="s">
        <v>399</v>
      </c>
      <c r="E82" s="3" t="s">
        <v>400</v>
      </c>
      <c r="F82" s="3" t="s">
        <v>401</v>
      </c>
      <c r="G82" s="3" t="s">
        <v>50</v>
      </c>
      <c r="H82" s="3" t="s">
        <v>118</v>
      </c>
      <c r="I82" s="3" t="s">
        <v>393</v>
      </c>
      <c r="J82" s="3" t="s">
        <v>119</v>
      </c>
      <c r="K82" s="3" t="s">
        <v>10</v>
      </c>
      <c r="L82" s="4">
        <f t="shared" si="2"/>
        <v>0</v>
      </c>
      <c r="M82" s="6">
        <v>46202</v>
      </c>
      <c r="N82" s="6">
        <v>46203</v>
      </c>
      <c r="O82" s="3" t="s">
        <v>368</v>
      </c>
      <c r="P82" s="3" t="s">
        <v>368</v>
      </c>
      <c r="Q82" s="3" t="s">
        <v>368</v>
      </c>
      <c r="R82" s="3" t="s">
        <v>368</v>
      </c>
      <c r="S82" s="29" t="s">
        <v>380</v>
      </c>
      <c r="T82" s="29"/>
    </row>
    <row r="83" spans="1:20" ht="31.5" customHeight="1">
      <c r="A83" s="3" t="s">
        <v>402</v>
      </c>
      <c r="B83" s="3">
        <v>10</v>
      </c>
      <c r="C83" s="3" t="s">
        <v>403</v>
      </c>
      <c r="D83" s="3" t="s">
        <v>404</v>
      </c>
      <c r="E83" s="3" t="s">
        <v>405</v>
      </c>
      <c r="F83" s="3" t="s">
        <v>406</v>
      </c>
      <c r="G83" s="3" t="s">
        <v>407</v>
      </c>
      <c r="H83" s="3" t="s">
        <v>87</v>
      </c>
      <c r="I83" s="3" t="s">
        <v>408</v>
      </c>
      <c r="J83" s="3" t="s">
        <v>409</v>
      </c>
      <c r="K83" s="3" t="s">
        <v>10</v>
      </c>
      <c r="L83" s="4">
        <f t="shared" si="2"/>
        <v>0</v>
      </c>
      <c r="M83" s="6">
        <v>46202</v>
      </c>
      <c r="N83" s="6">
        <v>46203</v>
      </c>
      <c r="O83" s="3" t="s">
        <v>368</v>
      </c>
      <c r="P83" s="3" t="s">
        <v>368</v>
      </c>
      <c r="Q83" s="3" t="s">
        <v>368</v>
      </c>
      <c r="R83" s="3" t="s">
        <v>368</v>
      </c>
      <c r="S83" s="29" t="s">
        <v>410</v>
      </c>
      <c r="T83" s="29"/>
    </row>
    <row r="84" spans="1:20" ht="31.5" customHeight="1">
      <c r="A84" s="3" t="s">
        <v>411</v>
      </c>
      <c r="B84" s="3">
        <v>10</v>
      </c>
      <c r="C84" s="3" t="s">
        <v>403</v>
      </c>
      <c r="D84" s="3" t="s">
        <v>412</v>
      </c>
      <c r="E84" s="3" t="s">
        <v>413</v>
      </c>
      <c r="F84" s="3" t="s">
        <v>406</v>
      </c>
      <c r="G84" s="3" t="s">
        <v>407</v>
      </c>
      <c r="H84" s="3" t="s">
        <v>87</v>
      </c>
      <c r="I84" s="3" t="s">
        <v>402</v>
      </c>
      <c r="J84" s="3" t="s">
        <v>88</v>
      </c>
      <c r="K84" s="3" t="s">
        <v>10</v>
      </c>
      <c r="L84" s="4">
        <f t="shared" si="2"/>
        <v>0</v>
      </c>
      <c r="M84" s="6">
        <v>46202</v>
      </c>
      <c r="N84" s="6">
        <v>46203</v>
      </c>
      <c r="O84" s="3" t="s">
        <v>368</v>
      </c>
      <c r="P84" s="3" t="s">
        <v>368</v>
      </c>
      <c r="Q84" s="3" t="s">
        <v>368</v>
      </c>
      <c r="R84" s="3" t="s">
        <v>368</v>
      </c>
      <c r="S84" s="29" t="s">
        <v>414</v>
      </c>
      <c r="T84" s="29"/>
    </row>
    <row r="85" spans="1:20" ht="31.5" customHeight="1">
      <c r="A85" s="3" t="s">
        <v>415</v>
      </c>
      <c r="B85" s="3">
        <v>10</v>
      </c>
      <c r="C85" s="3" t="s">
        <v>403</v>
      </c>
      <c r="D85" s="3" t="s">
        <v>416</v>
      </c>
      <c r="E85" s="3" t="s">
        <v>417</v>
      </c>
      <c r="F85" s="3" t="s">
        <v>406</v>
      </c>
      <c r="G85" s="3" t="s">
        <v>407</v>
      </c>
      <c r="H85" s="3" t="s">
        <v>99</v>
      </c>
      <c r="I85" s="3" t="s">
        <v>411</v>
      </c>
      <c r="J85" s="3" t="s">
        <v>88</v>
      </c>
      <c r="K85" s="3" t="s">
        <v>10</v>
      </c>
      <c r="L85" s="4">
        <f t="shared" si="2"/>
        <v>0</v>
      </c>
      <c r="M85" s="6">
        <v>46202</v>
      </c>
      <c r="N85" s="6">
        <v>46203</v>
      </c>
      <c r="O85" s="3" t="s">
        <v>368</v>
      </c>
      <c r="P85" s="3" t="s">
        <v>368</v>
      </c>
      <c r="Q85" s="3" t="s">
        <v>368</v>
      </c>
      <c r="R85" s="3" t="s">
        <v>368</v>
      </c>
      <c r="S85" s="29" t="s">
        <v>414</v>
      </c>
      <c r="T85" s="29"/>
    </row>
    <row r="86" spans="1:20" ht="31.5" customHeight="1">
      <c r="A86" s="3" t="s">
        <v>418</v>
      </c>
      <c r="B86" s="3">
        <v>10</v>
      </c>
      <c r="C86" s="3" t="s">
        <v>403</v>
      </c>
      <c r="D86" s="3" t="s">
        <v>419</v>
      </c>
      <c r="E86" s="3" t="s">
        <v>420</v>
      </c>
      <c r="F86" s="3" t="s">
        <v>406</v>
      </c>
      <c r="G86" s="3" t="s">
        <v>407</v>
      </c>
      <c r="H86" s="3" t="s">
        <v>87</v>
      </c>
      <c r="I86" s="3" t="s">
        <v>415</v>
      </c>
      <c r="J86" s="3" t="s">
        <v>409</v>
      </c>
      <c r="K86" s="3" t="s">
        <v>10</v>
      </c>
      <c r="L86" s="4">
        <f t="shared" si="2"/>
        <v>0</v>
      </c>
      <c r="M86" s="6">
        <v>46203</v>
      </c>
      <c r="N86" s="6">
        <v>46203</v>
      </c>
      <c r="O86" s="3" t="s">
        <v>368</v>
      </c>
      <c r="P86" s="3" t="s">
        <v>368</v>
      </c>
      <c r="Q86" s="3" t="s">
        <v>368</v>
      </c>
      <c r="R86" s="3" t="s">
        <v>368</v>
      </c>
      <c r="S86" s="29" t="s">
        <v>421</v>
      </c>
      <c r="T86" s="29" t="s">
        <v>422</v>
      </c>
    </row>
    <row r="87" spans="1:20" ht="31.5" customHeight="1">
      <c r="A87" s="3" t="s">
        <v>423</v>
      </c>
      <c r="B87" s="3">
        <v>10</v>
      </c>
      <c r="C87" s="3" t="s">
        <v>403</v>
      </c>
      <c r="D87" s="3" t="s">
        <v>424</v>
      </c>
      <c r="E87" s="3" t="s">
        <v>425</v>
      </c>
      <c r="F87" s="3" t="s">
        <v>406</v>
      </c>
      <c r="G87" s="3" t="s">
        <v>407</v>
      </c>
      <c r="H87" s="3" t="s">
        <v>118</v>
      </c>
      <c r="I87" s="3" t="s">
        <v>418</v>
      </c>
      <c r="J87" s="3" t="s">
        <v>88</v>
      </c>
      <c r="K87" s="3" t="s">
        <v>10</v>
      </c>
      <c r="L87" s="4">
        <f t="shared" si="2"/>
        <v>0</v>
      </c>
      <c r="M87" s="6">
        <v>46203</v>
      </c>
      <c r="N87" s="6">
        <v>46203</v>
      </c>
      <c r="O87" s="3" t="s">
        <v>368</v>
      </c>
      <c r="P87" s="3" t="s">
        <v>368</v>
      </c>
      <c r="Q87" s="3" t="s">
        <v>368</v>
      </c>
      <c r="R87" s="3" t="s">
        <v>368</v>
      </c>
      <c r="S87" s="3" t="s">
        <v>414</v>
      </c>
      <c r="T87" s="29" t="s">
        <v>426</v>
      </c>
    </row>
    <row r="88" spans="1:20" ht="15.75" customHeight="1">
      <c r="A88" s="3" t="s">
        <v>427</v>
      </c>
      <c r="B88" s="3">
        <v>8</v>
      </c>
      <c r="C88" s="3" t="s">
        <v>336</v>
      </c>
      <c r="D88" s="3" t="s">
        <v>428</v>
      </c>
      <c r="E88" s="3" t="s">
        <v>429</v>
      </c>
      <c r="F88" s="3" t="s">
        <v>430</v>
      </c>
      <c r="G88" s="3" t="s">
        <v>133</v>
      </c>
      <c r="H88" s="3" t="s">
        <v>99</v>
      </c>
      <c r="I88" s="3" t="s">
        <v>431</v>
      </c>
      <c r="J88" s="3" t="s">
        <v>88</v>
      </c>
      <c r="K88" s="3" t="s">
        <v>6</v>
      </c>
      <c r="L88" s="4">
        <f t="shared" si="2"/>
        <v>1</v>
      </c>
      <c r="M88" s="6">
        <v>46202</v>
      </c>
      <c r="N88" s="6">
        <v>46202</v>
      </c>
      <c r="O88" s="3" t="s">
        <v>89</v>
      </c>
      <c r="P88" s="3" t="s">
        <v>89</v>
      </c>
      <c r="Q88" s="3" t="s">
        <v>89</v>
      </c>
      <c r="R88" s="3" t="s">
        <v>89</v>
      </c>
      <c r="S88" s="3" t="s">
        <v>432</v>
      </c>
      <c r="T88" s="29" t="s">
        <v>433</v>
      </c>
    </row>
    <row r="89" spans="1:20" ht="15.75" customHeight="1">
      <c r="A89" s="3" t="s">
        <v>434</v>
      </c>
      <c r="B89" s="3">
        <v>9</v>
      </c>
      <c r="C89" s="3" t="s">
        <v>50</v>
      </c>
      <c r="D89" s="3" t="s">
        <v>435</v>
      </c>
      <c r="E89" s="3" t="s">
        <v>436</v>
      </c>
      <c r="F89" s="3" t="s">
        <v>437</v>
      </c>
      <c r="G89" s="3" t="s">
        <v>50</v>
      </c>
      <c r="H89" s="3" t="s">
        <v>118</v>
      </c>
      <c r="I89" s="3" t="s">
        <v>438</v>
      </c>
      <c r="J89" s="3" t="s">
        <v>119</v>
      </c>
      <c r="K89" s="3" t="s">
        <v>6</v>
      </c>
      <c r="L89" s="4">
        <f t="shared" si="2"/>
        <v>1</v>
      </c>
      <c r="M89" s="6">
        <v>46202</v>
      </c>
      <c r="N89" s="6">
        <v>46202</v>
      </c>
      <c r="O89" s="3" t="s">
        <v>89</v>
      </c>
      <c r="P89" s="3" t="s">
        <v>89</v>
      </c>
      <c r="Q89" s="3" t="s">
        <v>89</v>
      </c>
      <c r="R89" s="3" t="s">
        <v>89</v>
      </c>
      <c r="S89" s="3" t="s">
        <v>439</v>
      </c>
      <c r="T89" s="29" t="s">
        <v>440</v>
      </c>
    </row>
    <row r="90" spans="1:20" ht="15.75" customHeight="1">
      <c r="A90" s="3" t="s">
        <v>441</v>
      </c>
      <c r="B90" s="3">
        <v>10</v>
      </c>
      <c r="C90" s="3" t="s">
        <v>403</v>
      </c>
      <c r="D90" s="3" t="s">
        <v>442</v>
      </c>
      <c r="E90" s="3" t="s">
        <v>443</v>
      </c>
      <c r="F90" s="3" t="s">
        <v>444</v>
      </c>
      <c r="G90" s="3" t="s">
        <v>407</v>
      </c>
      <c r="H90" s="3" t="s">
        <v>99</v>
      </c>
      <c r="I90" s="3" t="s">
        <v>445</v>
      </c>
      <c r="J90" s="3" t="s">
        <v>88</v>
      </c>
      <c r="K90" s="3" t="s">
        <v>6</v>
      </c>
      <c r="L90" s="4">
        <f t="shared" si="2"/>
        <v>1</v>
      </c>
      <c r="M90" s="6">
        <v>46203</v>
      </c>
      <c r="N90" s="6">
        <v>46203</v>
      </c>
      <c r="O90" s="3" t="s">
        <v>89</v>
      </c>
      <c r="P90" s="3" t="s">
        <v>89</v>
      </c>
      <c r="Q90" s="3" t="s">
        <v>89</v>
      </c>
      <c r="R90" s="3" t="s">
        <v>89</v>
      </c>
      <c r="S90" s="3" t="s">
        <v>446</v>
      </c>
      <c r="T90" s="29" t="s">
        <v>447</v>
      </c>
    </row>
    <row r="91" spans="1:20" ht="15.75" customHeight="1">
      <c r="T91" s="5"/>
    </row>
    <row r="92" spans="1:20" ht="15.75" customHeight="1">
      <c r="T92" s="5"/>
    </row>
    <row r="93" spans="1:20" ht="15.75" customHeight="1">
      <c r="T93" s="5"/>
    </row>
    <row r="94" spans="1:20" ht="15.75" customHeight="1">
      <c r="T94" s="5"/>
    </row>
    <row r="95" spans="1:20" ht="15.75" customHeight="1">
      <c r="T95" s="5"/>
    </row>
    <row r="96" spans="1:20" ht="15.75" customHeight="1">
      <c r="T96" s="5"/>
    </row>
    <row r="97" spans="20:20" ht="15.75" customHeight="1">
      <c r="T97" s="5"/>
    </row>
    <row r="98" spans="20:20" ht="15.75" customHeight="1">
      <c r="T98" s="5"/>
    </row>
    <row r="99" spans="20:20" ht="15.75" customHeight="1">
      <c r="T99" s="5"/>
    </row>
    <row r="100" spans="20:20" ht="15.75" customHeight="1">
      <c r="T100" s="5"/>
    </row>
    <row r="101" spans="20:20" ht="15.75" customHeight="1">
      <c r="T101" s="5"/>
    </row>
    <row r="102" spans="20:20" ht="15.75" customHeight="1">
      <c r="T102" s="5"/>
    </row>
    <row r="103" spans="20:20" ht="15.75" customHeight="1">
      <c r="T103" s="5"/>
    </row>
    <row r="104" spans="20:20" ht="15.75" customHeight="1">
      <c r="T104" s="5"/>
    </row>
    <row r="105" spans="20:20" ht="15.75" customHeight="1">
      <c r="T105" s="5"/>
    </row>
    <row r="106" spans="20:20" ht="15.75" customHeight="1">
      <c r="T106" s="5"/>
    </row>
    <row r="107" spans="20:20" ht="15.75" customHeight="1">
      <c r="T107" s="5"/>
    </row>
    <row r="108" spans="20:20" ht="15.75" customHeight="1">
      <c r="T108" s="5"/>
    </row>
    <row r="109" spans="20:20" ht="15.75" customHeight="1">
      <c r="T109" s="5"/>
    </row>
    <row r="110" spans="20:20" ht="15.75" customHeight="1">
      <c r="T110" s="5"/>
    </row>
    <row r="111" spans="20:20" ht="15.75" customHeight="1">
      <c r="T111" s="5"/>
    </row>
    <row r="112" spans="20:20" ht="15.75" customHeight="1">
      <c r="T112" s="5"/>
    </row>
    <row r="113" spans="20:20" ht="15.75" customHeight="1">
      <c r="T113" s="5"/>
    </row>
    <row r="114" spans="20:20" ht="15.75" customHeight="1">
      <c r="T114" s="5"/>
    </row>
    <row r="115" spans="20:20" ht="15.75" customHeight="1">
      <c r="T115" s="5"/>
    </row>
    <row r="116" spans="20:20" ht="15.75" customHeight="1">
      <c r="T116" s="5"/>
    </row>
    <row r="117" spans="20:20" ht="15.75" customHeight="1">
      <c r="T117" s="5"/>
    </row>
    <row r="118" spans="20:20" ht="15.75" customHeight="1">
      <c r="T118" s="5"/>
    </row>
    <row r="119" spans="20:20" ht="15.75" customHeight="1">
      <c r="T119" s="5"/>
    </row>
    <row r="120" spans="20:20" ht="15.75" customHeight="1">
      <c r="T120" s="5"/>
    </row>
    <row r="121" spans="20:20" ht="15.75" customHeight="1">
      <c r="T121" s="5"/>
    </row>
    <row r="122" spans="20:20" ht="15.75" customHeight="1">
      <c r="T122" s="5"/>
    </row>
    <row r="123" spans="20:20" ht="15.75" customHeight="1">
      <c r="T123" s="5"/>
    </row>
    <row r="124" spans="20:20" ht="15.75" customHeight="1">
      <c r="T124" s="5"/>
    </row>
    <row r="125" spans="20:20" ht="15.75" customHeight="1">
      <c r="T125" s="5"/>
    </row>
    <row r="126" spans="20:20" ht="15.75" customHeight="1">
      <c r="T126" s="5"/>
    </row>
    <row r="127" spans="20:20" ht="15.75" customHeight="1">
      <c r="T127" s="5"/>
    </row>
    <row r="128" spans="20:20" ht="15.75" customHeight="1">
      <c r="T128" s="5"/>
    </row>
    <row r="129" spans="20:20" ht="15.75" customHeight="1">
      <c r="T129" s="5"/>
    </row>
    <row r="130" spans="20:20" ht="15.75" customHeight="1">
      <c r="T130" s="5"/>
    </row>
    <row r="131" spans="20:20" ht="15.75" customHeight="1">
      <c r="T131" s="5"/>
    </row>
    <row r="132" spans="20:20" ht="15.75" customHeight="1">
      <c r="T132" s="5"/>
    </row>
    <row r="133" spans="20:20" ht="15.75" customHeight="1">
      <c r="T133" s="5"/>
    </row>
    <row r="134" spans="20:20" ht="15.75" customHeight="1">
      <c r="T134" s="5"/>
    </row>
    <row r="135" spans="20:20" ht="15.75" customHeight="1">
      <c r="T135" s="5"/>
    </row>
    <row r="136" spans="20:20" ht="15.75" customHeight="1">
      <c r="T136" s="5"/>
    </row>
    <row r="137" spans="20:20" ht="15.75" customHeight="1">
      <c r="T137" s="5"/>
    </row>
    <row r="138" spans="20:20" ht="15.75" customHeight="1">
      <c r="T138" s="5"/>
    </row>
    <row r="139" spans="20:20" ht="15.75" customHeight="1">
      <c r="T139" s="5"/>
    </row>
    <row r="140" spans="20:20" ht="15.75" customHeight="1">
      <c r="T140" s="5"/>
    </row>
    <row r="141" spans="20:20" ht="15.75" customHeight="1">
      <c r="T141" s="5"/>
    </row>
    <row r="142" spans="20:20" ht="15.75" customHeight="1">
      <c r="T142" s="5"/>
    </row>
    <row r="143" spans="20:20" ht="15.75" customHeight="1">
      <c r="T143" s="5"/>
    </row>
    <row r="144" spans="20:20" ht="15.75" customHeight="1">
      <c r="T144" s="5"/>
    </row>
    <row r="145" spans="20:20" ht="15.75" customHeight="1">
      <c r="T145" s="5"/>
    </row>
    <row r="146" spans="20:20" ht="15.75" customHeight="1">
      <c r="T146" s="5"/>
    </row>
    <row r="147" spans="20:20" ht="15.75" customHeight="1">
      <c r="T147" s="5"/>
    </row>
    <row r="148" spans="20:20" ht="15.75" customHeight="1">
      <c r="T148" s="5"/>
    </row>
    <row r="149" spans="20:20" ht="15.75" customHeight="1">
      <c r="T149" s="5"/>
    </row>
    <row r="150" spans="20:20" ht="15.75" customHeight="1">
      <c r="T150" s="5"/>
    </row>
    <row r="151" spans="20:20" ht="15.75" customHeight="1">
      <c r="T151" s="5"/>
    </row>
    <row r="152" spans="20:20" ht="15.75" customHeight="1">
      <c r="T152" s="5"/>
    </row>
    <row r="153" spans="20:20" ht="15.75" customHeight="1">
      <c r="T153" s="5"/>
    </row>
    <row r="154" spans="20:20" ht="15.75" customHeight="1">
      <c r="T154" s="5"/>
    </row>
    <row r="155" spans="20:20" ht="15.75" customHeight="1">
      <c r="T155" s="5"/>
    </row>
    <row r="156" spans="20:20" ht="15.75" customHeight="1">
      <c r="T156" s="5"/>
    </row>
    <row r="157" spans="20:20" ht="15.75" customHeight="1">
      <c r="T157" s="5"/>
    </row>
    <row r="158" spans="20:20" ht="15.75" customHeight="1">
      <c r="T158" s="5"/>
    </row>
    <row r="159" spans="20:20" ht="15.75" customHeight="1">
      <c r="T159" s="5"/>
    </row>
    <row r="160" spans="20:20" ht="15.75" customHeight="1">
      <c r="T160" s="5"/>
    </row>
    <row r="161" spans="20:20" ht="15.75" customHeight="1">
      <c r="T161" s="5"/>
    </row>
    <row r="162" spans="20:20" ht="15.75" customHeight="1">
      <c r="T162" s="5"/>
    </row>
    <row r="163" spans="20:20" ht="15.75" customHeight="1">
      <c r="T163" s="5"/>
    </row>
    <row r="164" spans="20:20" ht="15.75" customHeight="1">
      <c r="T164" s="5"/>
    </row>
    <row r="165" spans="20:20" ht="15.75" customHeight="1">
      <c r="T165" s="5"/>
    </row>
    <row r="166" spans="20:20" ht="15.75" customHeight="1">
      <c r="T166" s="5"/>
    </row>
    <row r="167" spans="20:20" ht="15.75" customHeight="1">
      <c r="T167" s="5"/>
    </row>
    <row r="168" spans="20:20" ht="15.75" customHeight="1">
      <c r="T168" s="5"/>
    </row>
    <row r="169" spans="20:20" ht="15.75" customHeight="1">
      <c r="T169" s="5"/>
    </row>
    <row r="170" spans="20:20" ht="15.75" customHeight="1">
      <c r="T170" s="5"/>
    </row>
    <row r="171" spans="20:20" ht="15.75" customHeight="1">
      <c r="T171" s="5"/>
    </row>
    <row r="172" spans="20:20" ht="15.75" customHeight="1">
      <c r="T172" s="5"/>
    </row>
    <row r="173" spans="20:20" ht="15.75" customHeight="1">
      <c r="T173" s="5"/>
    </row>
    <row r="174" spans="20:20" ht="15.75" customHeight="1">
      <c r="T174" s="5"/>
    </row>
    <row r="175" spans="20:20" ht="15.75" customHeight="1">
      <c r="T175" s="5"/>
    </row>
    <row r="176" spans="20:20" ht="15.75" customHeight="1">
      <c r="T176" s="5"/>
    </row>
    <row r="177" spans="20:20" ht="15.75" customHeight="1">
      <c r="T177" s="5"/>
    </row>
    <row r="178" spans="20:20" ht="15.75" customHeight="1">
      <c r="T178" s="5"/>
    </row>
    <row r="179" spans="20:20" ht="15.75" customHeight="1">
      <c r="T179" s="5"/>
    </row>
    <row r="180" spans="20:20" ht="15.75" customHeight="1">
      <c r="T180" s="5"/>
    </row>
    <row r="181" spans="20:20" ht="15.75" customHeight="1">
      <c r="T181" s="5"/>
    </row>
    <row r="182" spans="20:20" ht="15.75" customHeight="1">
      <c r="T182" s="5"/>
    </row>
    <row r="183" spans="20:20" ht="15.75" customHeight="1">
      <c r="T183" s="5"/>
    </row>
    <row r="184" spans="20:20" ht="15.75" customHeight="1">
      <c r="T184" s="5"/>
    </row>
    <row r="185" spans="20:20" ht="15.75" customHeight="1">
      <c r="T185" s="5"/>
    </row>
    <row r="186" spans="20:20" ht="15.75" customHeight="1">
      <c r="T186" s="5"/>
    </row>
    <row r="187" spans="20:20" ht="15.75" customHeight="1">
      <c r="T187" s="5"/>
    </row>
    <row r="188" spans="20:20" ht="15.75" customHeight="1">
      <c r="T188" s="5"/>
    </row>
    <row r="189" spans="20:20" ht="15.75" customHeight="1">
      <c r="T189" s="5"/>
    </row>
    <row r="190" spans="20:20" ht="15.75" customHeight="1">
      <c r="T190" s="5"/>
    </row>
    <row r="191" spans="20:20" ht="15.75" customHeight="1">
      <c r="T191" s="5"/>
    </row>
    <row r="192" spans="20:20" ht="15.75" customHeight="1">
      <c r="T192" s="5"/>
    </row>
    <row r="193" spans="20:20" ht="15.75" customHeight="1">
      <c r="T193" s="5"/>
    </row>
    <row r="194" spans="20:20" ht="15.75" customHeight="1">
      <c r="T194" s="5"/>
    </row>
    <row r="195" spans="20:20" ht="15.75" customHeight="1">
      <c r="T195" s="5"/>
    </row>
    <row r="196" spans="20:20" ht="15.75" customHeight="1">
      <c r="T196" s="5"/>
    </row>
    <row r="197" spans="20:20" ht="15.75" customHeight="1">
      <c r="T197" s="5"/>
    </row>
    <row r="198" spans="20:20" ht="15.75" customHeight="1">
      <c r="T198" s="5"/>
    </row>
    <row r="199" spans="20:20" ht="15.75" customHeight="1">
      <c r="T199" s="5"/>
    </row>
    <row r="200" spans="20:20" ht="15.75" customHeight="1">
      <c r="T200" s="5"/>
    </row>
    <row r="201" spans="20:20" ht="15.75" customHeight="1">
      <c r="T201" s="5"/>
    </row>
    <row r="202" spans="20:20" ht="15.75" customHeight="1">
      <c r="T202" s="5"/>
    </row>
    <row r="203" spans="20:20" ht="15.75" customHeight="1">
      <c r="T203" s="5"/>
    </row>
    <row r="204" spans="20:20" ht="15.75" customHeight="1">
      <c r="T204" s="5"/>
    </row>
    <row r="205" spans="20:20" ht="15.75" customHeight="1">
      <c r="T205" s="5"/>
    </row>
    <row r="206" spans="20:20" ht="15.75" customHeight="1">
      <c r="T206" s="5"/>
    </row>
    <row r="207" spans="20:20" ht="15.75" customHeight="1">
      <c r="T207" s="5"/>
    </row>
    <row r="208" spans="20:20" ht="15.75" customHeight="1">
      <c r="T208" s="5"/>
    </row>
    <row r="209" spans="20:20" ht="15.75" customHeight="1">
      <c r="T209" s="5"/>
    </row>
    <row r="210" spans="20:20" ht="15.75" customHeight="1">
      <c r="T210" s="5"/>
    </row>
    <row r="211" spans="20:20" ht="15.75" customHeight="1">
      <c r="T211" s="5"/>
    </row>
    <row r="212" spans="20:20" ht="15.75" customHeight="1">
      <c r="T212" s="5"/>
    </row>
    <row r="213" spans="20:20" ht="15.75" customHeight="1">
      <c r="T213" s="5"/>
    </row>
    <row r="214" spans="20:20" ht="15.75" customHeight="1">
      <c r="T214" s="5"/>
    </row>
    <row r="215" spans="20:20" ht="15.75" customHeight="1">
      <c r="T215" s="5"/>
    </row>
    <row r="216" spans="20:20" ht="15.75" customHeight="1">
      <c r="T216" s="5"/>
    </row>
    <row r="217" spans="20:20" ht="15.75" customHeight="1">
      <c r="T217" s="5"/>
    </row>
    <row r="218" spans="20:20" ht="15.75" customHeight="1">
      <c r="T218" s="5"/>
    </row>
    <row r="219" spans="20:20" ht="15.75" customHeight="1">
      <c r="T219" s="5"/>
    </row>
    <row r="220" spans="20:20" ht="15.75" customHeight="1">
      <c r="T220" s="5"/>
    </row>
    <row r="221" spans="20:20" ht="15.75" customHeight="1">
      <c r="T221" s="5"/>
    </row>
    <row r="222" spans="20:20" ht="15.75" customHeight="1">
      <c r="T222" s="5"/>
    </row>
    <row r="223" spans="20:20" ht="15.75" customHeight="1">
      <c r="T223" s="5"/>
    </row>
    <row r="224" spans="20:20" ht="15.75" customHeight="1">
      <c r="T224" s="5"/>
    </row>
    <row r="225" spans="20:20" ht="15.75" customHeight="1">
      <c r="T225" s="5"/>
    </row>
    <row r="226" spans="20:20" ht="15.75" customHeight="1">
      <c r="T226" s="5"/>
    </row>
    <row r="227" spans="20:20" ht="15.75" customHeight="1">
      <c r="T227" s="5"/>
    </row>
    <row r="228" spans="20:20" ht="15.75" customHeight="1">
      <c r="T228" s="5"/>
    </row>
    <row r="229" spans="20:20" ht="15.75" customHeight="1">
      <c r="T229" s="5"/>
    </row>
    <row r="230" spans="20:20" ht="15.75" customHeight="1">
      <c r="T230" s="5"/>
    </row>
    <row r="231" spans="20:20" ht="15.75" customHeight="1">
      <c r="T231" s="5"/>
    </row>
    <row r="232" spans="20:20" ht="15.75" customHeight="1">
      <c r="T232" s="5"/>
    </row>
    <row r="233" spans="20:20" ht="15.75" customHeight="1">
      <c r="T233" s="5"/>
    </row>
    <row r="234" spans="20:20" ht="15.75" customHeight="1">
      <c r="T234" s="5"/>
    </row>
    <row r="235" spans="20:20" ht="15.75" customHeight="1">
      <c r="T235" s="5"/>
    </row>
    <row r="236" spans="20:20" ht="15.75" customHeight="1">
      <c r="T236" s="5"/>
    </row>
    <row r="237" spans="20:20" ht="15.75" customHeight="1">
      <c r="T237" s="5"/>
    </row>
    <row r="238" spans="20:20" ht="15.75" customHeight="1">
      <c r="T238" s="5"/>
    </row>
    <row r="239" spans="20:20" ht="15.75" customHeight="1">
      <c r="T239" s="5"/>
    </row>
    <row r="240" spans="20:20" ht="15.75" customHeight="1">
      <c r="T240" s="5"/>
    </row>
    <row r="241" spans="20:20" ht="15.75" customHeight="1">
      <c r="T241" s="5"/>
    </row>
    <row r="242" spans="20:20" ht="15.75" customHeight="1">
      <c r="T242" s="5"/>
    </row>
    <row r="243" spans="20:20" ht="15.75" customHeight="1">
      <c r="T243" s="5"/>
    </row>
    <row r="244" spans="20:20" ht="15.75" customHeight="1">
      <c r="T244" s="5"/>
    </row>
    <row r="245" spans="20:20" ht="15.75" customHeight="1">
      <c r="T245" s="5"/>
    </row>
    <row r="246" spans="20:20" ht="15.75" customHeight="1">
      <c r="T246" s="5"/>
    </row>
    <row r="247" spans="20:20" ht="15.75" customHeight="1">
      <c r="T247" s="5"/>
    </row>
    <row r="248" spans="20:20" ht="15.75" customHeight="1">
      <c r="T248" s="5"/>
    </row>
    <row r="249" spans="20:20" ht="15.75" customHeight="1">
      <c r="T249" s="5"/>
    </row>
    <row r="250" spans="20:20" ht="15.75" customHeight="1">
      <c r="T250" s="5"/>
    </row>
    <row r="251" spans="20:20" ht="15.75" customHeight="1">
      <c r="T251" s="5"/>
    </row>
    <row r="252" spans="20:20" ht="15.75" customHeight="1">
      <c r="T252" s="5"/>
    </row>
    <row r="253" spans="20:20" ht="15.75" customHeight="1">
      <c r="T253" s="5"/>
    </row>
    <row r="254" spans="20:20" ht="15.75" customHeight="1">
      <c r="T254" s="5"/>
    </row>
    <row r="255" spans="20:20" ht="15.75" customHeight="1">
      <c r="T255" s="5"/>
    </row>
    <row r="256" spans="20:20" ht="15.75" customHeight="1">
      <c r="T256" s="5"/>
    </row>
    <row r="257" spans="20:20" ht="15.75" customHeight="1">
      <c r="T257" s="5"/>
    </row>
    <row r="258" spans="20:20" ht="15.75" customHeight="1">
      <c r="T258" s="5"/>
    </row>
    <row r="259" spans="20:20" ht="15.75" customHeight="1">
      <c r="T259" s="5"/>
    </row>
    <row r="260" spans="20:20" ht="15.75" customHeight="1">
      <c r="T260" s="5"/>
    </row>
    <row r="261" spans="20:20" ht="15.75" customHeight="1">
      <c r="T261" s="5"/>
    </row>
    <row r="262" spans="20:20" ht="15.75" customHeight="1">
      <c r="T262" s="5"/>
    </row>
    <row r="263" spans="20:20" ht="15.75" customHeight="1">
      <c r="T263" s="5"/>
    </row>
    <row r="264" spans="20:20" ht="15.75" customHeight="1">
      <c r="T264" s="5"/>
    </row>
    <row r="265" spans="20:20" ht="15.75" customHeight="1">
      <c r="T265" s="5"/>
    </row>
    <row r="266" spans="20:20" ht="15.75" customHeight="1">
      <c r="T266" s="5"/>
    </row>
    <row r="267" spans="20:20" ht="15.75" customHeight="1">
      <c r="T267" s="5"/>
    </row>
    <row r="268" spans="20:20" ht="15.75" customHeight="1">
      <c r="T268" s="5"/>
    </row>
    <row r="269" spans="20:20" ht="15.75" customHeight="1">
      <c r="T269" s="5"/>
    </row>
    <row r="270" spans="20:20" ht="15.75" customHeight="1">
      <c r="T270" s="5"/>
    </row>
    <row r="271" spans="20:20" ht="15.75" customHeight="1">
      <c r="T271" s="5"/>
    </row>
    <row r="272" spans="20:20" ht="15.75" customHeight="1">
      <c r="T272" s="5"/>
    </row>
    <row r="273" spans="20:20" ht="15.75" customHeight="1">
      <c r="T273" s="5"/>
    </row>
    <row r="274" spans="20:20" ht="15.75" customHeight="1">
      <c r="T274" s="5"/>
    </row>
    <row r="275" spans="20:20" ht="15.75" customHeight="1">
      <c r="T275" s="5"/>
    </row>
    <row r="276" spans="20:20" ht="15.75" customHeight="1">
      <c r="T276" s="5"/>
    </row>
    <row r="277" spans="20:20" ht="15.75" customHeight="1">
      <c r="T277" s="5"/>
    </row>
    <row r="278" spans="20:20" ht="15.75" customHeight="1">
      <c r="T278" s="5"/>
    </row>
    <row r="279" spans="20:20" ht="15.75" customHeight="1">
      <c r="T279" s="5"/>
    </row>
    <row r="280" spans="20:20" ht="15.75" customHeight="1">
      <c r="T280" s="5"/>
    </row>
    <row r="281" spans="20:20" ht="15.75" customHeight="1">
      <c r="T281" s="5"/>
    </row>
    <row r="282" spans="20:20" ht="15.75" customHeight="1">
      <c r="T282" s="5"/>
    </row>
    <row r="283" spans="20:20" ht="15.75" customHeight="1">
      <c r="T283" s="5"/>
    </row>
    <row r="284" spans="20:20" ht="15.75" customHeight="1">
      <c r="T284" s="5"/>
    </row>
    <row r="285" spans="20:20" ht="15.75" customHeight="1">
      <c r="T285" s="5"/>
    </row>
    <row r="286" spans="20:20" ht="15.75" customHeight="1">
      <c r="T286" s="5"/>
    </row>
    <row r="287" spans="20:20" ht="15.75" customHeight="1">
      <c r="T287" s="5"/>
    </row>
    <row r="288" spans="20:20" ht="15.75" customHeight="1">
      <c r="T288" s="5"/>
    </row>
    <row r="289" spans="20:20" ht="15.75" customHeight="1">
      <c r="T289" s="5"/>
    </row>
    <row r="290" spans="20:20" ht="15.75" customHeight="1">
      <c r="T290" s="5"/>
    </row>
    <row r="291" spans="20:20" ht="15.75" customHeight="1">
      <c r="T291" s="5"/>
    </row>
    <row r="292" spans="20:20" ht="15.75" customHeight="1">
      <c r="T292" s="5"/>
    </row>
    <row r="293" spans="20:20" ht="15.75" customHeight="1">
      <c r="T293" s="5"/>
    </row>
    <row r="294" spans="20:20" ht="15.75" customHeight="1">
      <c r="T294" s="5"/>
    </row>
    <row r="295" spans="20:20" ht="15.75" customHeight="1">
      <c r="T295" s="5"/>
    </row>
    <row r="296" spans="20:20" ht="15.75" customHeight="1">
      <c r="T296" s="5"/>
    </row>
    <row r="297" spans="20:20" ht="15.75" customHeight="1">
      <c r="T297" s="5"/>
    </row>
    <row r="298" spans="20:20" ht="15.75" customHeight="1">
      <c r="T298" s="5"/>
    </row>
    <row r="299" spans="20:20" ht="15.75" customHeight="1">
      <c r="T299" s="5"/>
    </row>
    <row r="300" spans="20:20" ht="15.75" customHeight="1">
      <c r="T300" s="5"/>
    </row>
    <row r="301" spans="20:20" ht="15.75" customHeight="1">
      <c r="T301" s="5"/>
    </row>
    <row r="302" spans="20:20" ht="15.75" customHeight="1">
      <c r="T302" s="5"/>
    </row>
    <row r="303" spans="20:20" ht="15.75" customHeight="1">
      <c r="T303" s="5"/>
    </row>
    <row r="304" spans="20:20" ht="15.75" customHeight="1">
      <c r="T304" s="5"/>
    </row>
    <row r="305" spans="20:20" ht="15.75" customHeight="1">
      <c r="T305" s="5"/>
    </row>
    <row r="306" spans="20:20" ht="15.75" customHeight="1">
      <c r="T306" s="5"/>
    </row>
    <row r="307" spans="20:20" ht="15.75" customHeight="1">
      <c r="T307" s="5"/>
    </row>
    <row r="308" spans="20:20" ht="15.75" customHeight="1">
      <c r="T308" s="5"/>
    </row>
    <row r="309" spans="20:20" ht="15.75" customHeight="1">
      <c r="T309" s="5"/>
    </row>
    <row r="310" spans="20:20" ht="15.75" customHeight="1">
      <c r="T310" s="5"/>
    </row>
    <row r="311" spans="20:20" ht="15.75" customHeight="1">
      <c r="T311" s="5"/>
    </row>
    <row r="312" spans="20:20" ht="15.75" customHeight="1">
      <c r="T312" s="5"/>
    </row>
    <row r="313" spans="20:20" ht="15.75" customHeight="1">
      <c r="T313" s="5"/>
    </row>
    <row r="314" spans="20:20" ht="15.75" customHeight="1">
      <c r="T314" s="5"/>
    </row>
    <row r="315" spans="20:20" ht="15.75" customHeight="1">
      <c r="T315" s="5"/>
    </row>
    <row r="316" spans="20:20" ht="15.75" customHeight="1">
      <c r="T316" s="5"/>
    </row>
    <row r="317" spans="20:20" ht="15.75" customHeight="1">
      <c r="T317" s="5"/>
    </row>
    <row r="318" spans="20:20" ht="15.75" customHeight="1">
      <c r="T318" s="5"/>
    </row>
    <row r="319" spans="20:20" ht="15.75" customHeight="1">
      <c r="T319" s="5"/>
    </row>
    <row r="320" spans="20:20" ht="15.75" customHeight="1">
      <c r="T320" s="5"/>
    </row>
    <row r="321" spans="20:20" ht="15.75" customHeight="1">
      <c r="T321" s="5"/>
    </row>
    <row r="322" spans="20:20" ht="15.75" customHeight="1">
      <c r="T322" s="5"/>
    </row>
    <row r="323" spans="20:20" ht="15.75" customHeight="1">
      <c r="T323" s="5"/>
    </row>
    <row r="324" spans="20:20" ht="15.75" customHeight="1">
      <c r="T324" s="5"/>
    </row>
    <row r="325" spans="20:20" ht="15.75" customHeight="1">
      <c r="T325" s="5"/>
    </row>
    <row r="326" spans="20:20" ht="15.75" customHeight="1">
      <c r="T326" s="5"/>
    </row>
    <row r="327" spans="20:20" ht="15.75" customHeight="1">
      <c r="T327" s="5"/>
    </row>
    <row r="328" spans="20:20" ht="15.75" customHeight="1">
      <c r="T328" s="5"/>
    </row>
    <row r="329" spans="20:20" ht="15.75" customHeight="1">
      <c r="T329" s="5"/>
    </row>
    <row r="330" spans="20:20" ht="15.75" customHeight="1">
      <c r="T330" s="5"/>
    </row>
    <row r="331" spans="20:20" ht="15.75" customHeight="1">
      <c r="T331" s="5"/>
    </row>
    <row r="332" spans="20:20" ht="15.75" customHeight="1">
      <c r="T332" s="5"/>
    </row>
    <row r="333" spans="20:20" ht="15.75" customHeight="1">
      <c r="T333" s="5"/>
    </row>
    <row r="334" spans="20:20" ht="15.75" customHeight="1">
      <c r="T334" s="5"/>
    </row>
    <row r="335" spans="20:20" ht="15.75" customHeight="1">
      <c r="T335" s="5"/>
    </row>
    <row r="336" spans="20:20" ht="15.75" customHeight="1">
      <c r="T336" s="5"/>
    </row>
    <row r="337" spans="20:20" ht="15.75" customHeight="1">
      <c r="T337" s="5"/>
    </row>
    <row r="338" spans="20:20" ht="15.75" customHeight="1">
      <c r="T338" s="5"/>
    </row>
    <row r="339" spans="20:20" ht="15.75" customHeight="1">
      <c r="T339" s="5"/>
    </row>
    <row r="340" spans="20:20" ht="15.75" customHeight="1">
      <c r="T340" s="5"/>
    </row>
    <row r="341" spans="20:20" ht="15.75" customHeight="1">
      <c r="T341" s="5"/>
    </row>
    <row r="342" spans="20:20" ht="15.75" customHeight="1">
      <c r="T342" s="5"/>
    </row>
    <row r="343" spans="20:20" ht="15.75" customHeight="1">
      <c r="T343" s="5"/>
    </row>
    <row r="344" spans="20:20" ht="15.75" customHeight="1">
      <c r="T344" s="5"/>
    </row>
    <row r="345" spans="20:20" ht="15.75" customHeight="1">
      <c r="T345" s="5"/>
    </row>
    <row r="346" spans="20:20" ht="15.75" customHeight="1">
      <c r="T346" s="5"/>
    </row>
    <row r="347" spans="20:20" ht="15.75" customHeight="1">
      <c r="T347" s="5"/>
    </row>
    <row r="348" spans="20:20" ht="15.75" customHeight="1">
      <c r="T348" s="5"/>
    </row>
    <row r="349" spans="20:20" ht="15.75" customHeight="1">
      <c r="T349" s="5"/>
    </row>
    <row r="350" spans="20:20" ht="15.75" customHeight="1">
      <c r="T350" s="5"/>
    </row>
    <row r="351" spans="20:20" ht="15.75" customHeight="1">
      <c r="T351" s="5"/>
    </row>
    <row r="352" spans="20:20" ht="15.75" customHeight="1">
      <c r="T352" s="5"/>
    </row>
    <row r="353" spans="20:20" ht="15.75" customHeight="1">
      <c r="T353" s="5"/>
    </row>
    <row r="354" spans="20:20" ht="15.75" customHeight="1">
      <c r="T354" s="5"/>
    </row>
    <row r="355" spans="20:20" ht="15.75" customHeight="1">
      <c r="T355" s="5"/>
    </row>
    <row r="356" spans="20:20" ht="15.75" customHeight="1">
      <c r="T356" s="5"/>
    </row>
    <row r="357" spans="20:20" ht="15.75" customHeight="1">
      <c r="T357" s="5"/>
    </row>
    <row r="358" spans="20:20" ht="15.75" customHeight="1">
      <c r="T358" s="5"/>
    </row>
    <row r="359" spans="20:20" ht="15.75" customHeight="1">
      <c r="T359" s="5"/>
    </row>
    <row r="360" spans="20:20" ht="15.75" customHeight="1">
      <c r="T360" s="5"/>
    </row>
    <row r="361" spans="20:20" ht="15.75" customHeight="1">
      <c r="T361" s="5"/>
    </row>
    <row r="362" spans="20:20" ht="15.75" customHeight="1">
      <c r="T362" s="5"/>
    </row>
    <row r="363" spans="20:20" ht="15.75" customHeight="1">
      <c r="T363" s="5"/>
    </row>
    <row r="364" spans="20:20" ht="15.75" customHeight="1">
      <c r="T364" s="5"/>
    </row>
    <row r="365" spans="20:20" ht="15.75" customHeight="1">
      <c r="T365" s="5"/>
    </row>
    <row r="366" spans="20:20" ht="15.75" customHeight="1">
      <c r="T366" s="5"/>
    </row>
    <row r="367" spans="20:20" ht="15.75" customHeight="1">
      <c r="T367" s="5"/>
    </row>
    <row r="368" spans="20:20" ht="15.75" customHeight="1">
      <c r="T368" s="5"/>
    </row>
    <row r="369" spans="20:20" ht="15.75" customHeight="1">
      <c r="T369" s="5"/>
    </row>
    <row r="370" spans="20:20" ht="15.75" customHeight="1">
      <c r="T370" s="5"/>
    </row>
    <row r="371" spans="20:20" ht="15.75" customHeight="1">
      <c r="T371" s="5"/>
    </row>
    <row r="372" spans="20:20" ht="15.75" customHeight="1">
      <c r="T372" s="5"/>
    </row>
    <row r="373" spans="20:20" ht="15.75" customHeight="1">
      <c r="T373" s="5"/>
    </row>
    <row r="374" spans="20:20" ht="15.75" customHeight="1">
      <c r="T374" s="5"/>
    </row>
    <row r="375" spans="20:20" ht="15.75" customHeight="1">
      <c r="T375" s="5"/>
    </row>
    <row r="376" spans="20:20" ht="15.75" customHeight="1">
      <c r="T376" s="5"/>
    </row>
    <row r="377" spans="20:20" ht="15.75" customHeight="1">
      <c r="T377" s="5"/>
    </row>
    <row r="378" spans="20:20" ht="15.75" customHeight="1">
      <c r="T378" s="5"/>
    </row>
    <row r="379" spans="20:20" ht="15.75" customHeight="1">
      <c r="T379" s="5"/>
    </row>
    <row r="380" spans="20:20" ht="15.75" customHeight="1">
      <c r="T380" s="5"/>
    </row>
    <row r="381" spans="20:20" ht="15.75" customHeight="1">
      <c r="T381" s="5"/>
    </row>
    <row r="382" spans="20:20" ht="15.75" customHeight="1">
      <c r="T382" s="5"/>
    </row>
    <row r="383" spans="20:20" ht="15.75" customHeight="1">
      <c r="T383" s="5"/>
    </row>
    <row r="384" spans="20:20" ht="15.75" customHeight="1">
      <c r="T384" s="5"/>
    </row>
    <row r="385" spans="20:20" ht="15.75" customHeight="1">
      <c r="T385" s="5"/>
    </row>
    <row r="386" spans="20:20" ht="15.75" customHeight="1">
      <c r="T386" s="5"/>
    </row>
    <row r="387" spans="20:20" ht="15.75" customHeight="1">
      <c r="T387" s="5"/>
    </row>
    <row r="388" spans="20:20" ht="15.75" customHeight="1">
      <c r="T388" s="5"/>
    </row>
    <row r="389" spans="20:20" ht="15.75" customHeight="1">
      <c r="T389" s="5"/>
    </row>
    <row r="390" spans="20:20" ht="15.75" customHeight="1">
      <c r="T390" s="5"/>
    </row>
    <row r="391" spans="20:20" ht="15.75" customHeight="1">
      <c r="T391" s="5"/>
    </row>
    <row r="392" spans="20:20" ht="15.75" customHeight="1">
      <c r="T392" s="5"/>
    </row>
    <row r="393" spans="20:20" ht="15.75" customHeight="1">
      <c r="T393" s="5"/>
    </row>
    <row r="394" spans="20:20" ht="15.75" customHeight="1">
      <c r="T394" s="5"/>
    </row>
    <row r="395" spans="20:20" ht="15.75" customHeight="1">
      <c r="T395" s="5"/>
    </row>
    <row r="396" spans="20:20" ht="15.75" customHeight="1">
      <c r="T396" s="5"/>
    </row>
    <row r="397" spans="20:20" ht="15.75" customHeight="1">
      <c r="T397" s="5"/>
    </row>
    <row r="398" spans="20:20" ht="15.75" customHeight="1">
      <c r="T398" s="5"/>
    </row>
    <row r="399" spans="20:20" ht="15.75" customHeight="1">
      <c r="T399" s="5"/>
    </row>
    <row r="400" spans="20:20" ht="15.75" customHeight="1">
      <c r="T400" s="5"/>
    </row>
    <row r="401" spans="20:20" ht="15.75" customHeight="1">
      <c r="T401" s="5"/>
    </row>
    <row r="402" spans="20:20" ht="15.75" customHeight="1">
      <c r="T402" s="5"/>
    </row>
    <row r="403" spans="20:20" ht="15.75" customHeight="1">
      <c r="T403" s="5"/>
    </row>
    <row r="404" spans="20:20" ht="15.75" customHeight="1">
      <c r="T404" s="5"/>
    </row>
    <row r="405" spans="20:20" ht="15.75" customHeight="1">
      <c r="T405" s="5"/>
    </row>
    <row r="406" spans="20:20" ht="15.75" customHeight="1">
      <c r="T406" s="5"/>
    </row>
    <row r="407" spans="20:20" ht="15.75" customHeight="1">
      <c r="T407" s="5"/>
    </row>
    <row r="408" spans="20:20" ht="15.75" customHeight="1">
      <c r="T408" s="5"/>
    </row>
    <row r="409" spans="20:20" ht="15.75" customHeight="1">
      <c r="T409" s="5"/>
    </row>
    <row r="410" spans="20:20" ht="15.75" customHeight="1">
      <c r="T410" s="5"/>
    </row>
    <row r="411" spans="20:20" ht="15.75" customHeight="1">
      <c r="T411" s="5"/>
    </row>
    <row r="412" spans="20:20" ht="15.75" customHeight="1">
      <c r="T412" s="5"/>
    </row>
    <row r="413" spans="20:20" ht="15.75" customHeight="1">
      <c r="T413" s="5"/>
    </row>
    <row r="414" spans="20:20" ht="15.75" customHeight="1">
      <c r="T414" s="5"/>
    </row>
    <row r="415" spans="20:20" ht="15.75" customHeight="1">
      <c r="T415" s="5"/>
    </row>
    <row r="416" spans="20:20" ht="15.75" customHeight="1">
      <c r="T416" s="5"/>
    </row>
    <row r="417" spans="20:20" ht="15.75" customHeight="1">
      <c r="T417" s="5"/>
    </row>
    <row r="418" spans="20:20" ht="15.75" customHeight="1">
      <c r="T418" s="5"/>
    </row>
    <row r="419" spans="20:20" ht="15.75" customHeight="1">
      <c r="T419" s="5"/>
    </row>
    <row r="420" spans="20:20" ht="15.75" customHeight="1">
      <c r="T420" s="5"/>
    </row>
    <row r="421" spans="20:20" ht="15.75" customHeight="1">
      <c r="T421" s="5"/>
    </row>
    <row r="422" spans="20:20" ht="15.75" customHeight="1">
      <c r="T422" s="5"/>
    </row>
    <row r="423" spans="20:20" ht="15.75" customHeight="1">
      <c r="T423" s="5"/>
    </row>
    <row r="424" spans="20:20" ht="15.75" customHeight="1">
      <c r="T424" s="5"/>
    </row>
    <row r="425" spans="20:20" ht="15.75" customHeight="1">
      <c r="T425" s="5"/>
    </row>
    <row r="426" spans="20:20" ht="15.75" customHeight="1">
      <c r="T426" s="5"/>
    </row>
    <row r="427" spans="20:20" ht="15.75" customHeight="1">
      <c r="T427" s="5"/>
    </row>
    <row r="428" spans="20:20" ht="15.75" customHeight="1">
      <c r="T428" s="5"/>
    </row>
    <row r="429" spans="20:20" ht="15.75" customHeight="1">
      <c r="T429" s="5"/>
    </row>
    <row r="430" spans="20:20" ht="15.75" customHeight="1">
      <c r="T430" s="5"/>
    </row>
    <row r="431" spans="20:20" ht="15.75" customHeight="1">
      <c r="T431" s="5"/>
    </row>
    <row r="432" spans="20:20" ht="15.75" customHeight="1">
      <c r="T432" s="5"/>
    </row>
    <row r="433" spans="20:20" ht="15.75" customHeight="1">
      <c r="T433" s="5"/>
    </row>
    <row r="434" spans="20:20" ht="15.75" customHeight="1">
      <c r="T434" s="5"/>
    </row>
    <row r="435" spans="20:20" ht="15.75" customHeight="1">
      <c r="T435" s="5"/>
    </row>
    <row r="436" spans="20:20" ht="15.75" customHeight="1">
      <c r="T436" s="5"/>
    </row>
    <row r="437" spans="20:20" ht="15.75" customHeight="1">
      <c r="T437" s="5"/>
    </row>
    <row r="438" spans="20:20" ht="15.75" customHeight="1">
      <c r="T438" s="5"/>
    </row>
    <row r="439" spans="20:20" ht="15.75" customHeight="1">
      <c r="T439" s="5"/>
    </row>
    <row r="440" spans="20:20" ht="15.75" customHeight="1">
      <c r="T440" s="5"/>
    </row>
    <row r="441" spans="20:20" ht="15.75" customHeight="1">
      <c r="T441" s="5"/>
    </row>
    <row r="442" spans="20:20" ht="15.75" customHeight="1">
      <c r="T442" s="5"/>
    </row>
    <row r="443" spans="20:20" ht="15.75" customHeight="1">
      <c r="T443" s="5"/>
    </row>
    <row r="444" spans="20:20" ht="15.75" customHeight="1">
      <c r="T444" s="5"/>
    </row>
    <row r="445" spans="20:20" ht="15.75" customHeight="1">
      <c r="T445" s="5"/>
    </row>
    <row r="446" spans="20:20" ht="15.75" customHeight="1">
      <c r="T446" s="5"/>
    </row>
    <row r="447" spans="20:20" ht="15.75" customHeight="1">
      <c r="T447" s="5"/>
    </row>
    <row r="448" spans="20:20" ht="15.75" customHeight="1">
      <c r="T448" s="5"/>
    </row>
    <row r="449" spans="20:20" ht="15.75" customHeight="1">
      <c r="T449" s="5"/>
    </row>
    <row r="450" spans="20:20" ht="15.75" customHeight="1">
      <c r="T450" s="5"/>
    </row>
    <row r="451" spans="20:20" ht="15.75" customHeight="1">
      <c r="T451" s="5"/>
    </row>
    <row r="452" spans="20:20" ht="15.75" customHeight="1">
      <c r="T452" s="5"/>
    </row>
    <row r="453" spans="20:20" ht="15.75" customHeight="1">
      <c r="T453" s="5"/>
    </row>
    <row r="454" spans="20:20" ht="15.75" customHeight="1">
      <c r="T454" s="5"/>
    </row>
    <row r="455" spans="20:20" ht="15.75" customHeight="1">
      <c r="T455" s="5"/>
    </row>
    <row r="456" spans="20:20" ht="15.75" customHeight="1">
      <c r="T456" s="5"/>
    </row>
    <row r="457" spans="20:20" ht="15.75" customHeight="1">
      <c r="T457" s="5"/>
    </row>
    <row r="458" spans="20:20" ht="15.75" customHeight="1">
      <c r="T458" s="5"/>
    </row>
    <row r="459" spans="20:20" ht="15.75" customHeight="1">
      <c r="T459" s="5"/>
    </row>
    <row r="460" spans="20:20" ht="15.75" customHeight="1">
      <c r="T460" s="5"/>
    </row>
    <row r="461" spans="20:20" ht="15.75" customHeight="1">
      <c r="T461" s="5"/>
    </row>
    <row r="462" spans="20:20" ht="15.75" customHeight="1">
      <c r="T462" s="5"/>
    </row>
    <row r="463" spans="20:20" ht="15.75" customHeight="1">
      <c r="T463" s="5"/>
    </row>
    <row r="464" spans="20:20" ht="15.75" customHeight="1">
      <c r="T464" s="5"/>
    </row>
    <row r="465" spans="20:20" ht="15.75" customHeight="1">
      <c r="T465" s="5"/>
    </row>
    <row r="466" spans="20:20" ht="15.75" customHeight="1">
      <c r="T466" s="5"/>
    </row>
    <row r="467" spans="20:20" ht="15.75" customHeight="1">
      <c r="T467" s="5"/>
    </row>
    <row r="468" spans="20:20" ht="15.75" customHeight="1">
      <c r="T468" s="5"/>
    </row>
    <row r="469" spans="20:20" ht="15.75" customHeight="1">
      <c r="T469" s="5"/>
    </row>
    <row r="470" spans="20:20" ht="15.75" customHeight="1">
      <c r="T470" s="5"/>
    </row>
    <row r="471" spans="20:20" ht="15.75" customHeight="1">
      <c r="T471" s="5"/>
    </row>
    <row r="472" spans="20:20" ht="15.75" customHeight="1">
      <c r="T472" s="5"/>
    </row>
    <row r="473" spans="20:20" ht="15.75" customHeight="1">
      <c r="T473" s="5"/>
    </row>
    <row r="474" spans="20:20" ht="15.75" customHeight="1">
      <c r="T474" s="5"/>
    </row>
    <row r="475" spans="20:20" ht="15.75" customHeight="1">
      <c r="T475" s="5"/>
    </row>
    <row r="476" spans="20:20" ht="15.75" customHeight="1">
      <c r="T476" s="5"/>
    </row>
    <row r="477" spans="20:20" ht="15.75" customHeight="1">
      <c r="T477" s="5"/>
    </row>
    <row r="478" spans="20:20" ht="15.75" customHeight="1">
      <c r="T478" s="5"/>
    </row>
    <row r="479" spans="20:20" ht="15.75" customHeight="1">
      <c r="T479" s="5"/>
    </row>
    <row r="480" spans="20:20" ht="15.75" customHeight="1">
      <c r="T480" s="5"/>
    </row>
    <row r="481" spans="20:20" ht="15.75" customHeight="1">
      <c r="T481" s="5"/>
    </row>
    <row r="482" spans="20:20" ht="15.75" customHeight="1">
      <c r="T482" s="5"/>
    </row>
    <row r="483" spans="20:20" ht="15.75" customHeight="1">
      <c r="T483" s="5"/>
    </row>
    <row r="484" spans="20:20" ht="15.75" customHeight="1">
      <c r="T484" s="5"/>
    </row>
    <row r="485" spans="20:20" ht="15.75" customHeight="1">
      <c r="T485" s="5"/>
    </row>
    <row r="486" spans="20:20" ht="15.75" customHeight="1">
      <c r="T486" s="5"/>
    </row>
    <row r="487" spans="20:20" ht="15.75" customHeight="1">
      <c r="T487" s="5"/>
    </row>
    <row r="488" spans="20:20" ht="15.75" customHeight="1">
      <c r="T488" s="5"/>
    </row>
    <row r="489" spans="20:20" ht="15.75" customHeight="1">
      <c r="T489" s="5"/>
    </row>
    <row r="490" spans="20:20" ht="15.75" customHeight="1">
      <c r="T490" s="5"/>
    </row>
    <row r="491" spans="20:20" ht="15.75" customHeight="1">
      <c r="T491" s="5"/>
    </row>
    <row r="492" spans="20:20" ht="15.75" customHeight="1">
      <c r="T492" s="5"/>
    </row>
    <row r="493" spans="20:20" ht="15.75" customHeight="1">
      <c r="T493" s="5"/>
    </row>
    <row r="494" spans="20:20" ht="15.75" customHeight="1">
      <c r="T494" s="5"/>
    </row>
    <row r="495" spans="20:20" ht="15.75" customHeight="1">
      <c r="T495" s="5"/>
    </row>
    <row r="496" spans="20:20" ht="15.75" customHeight="1">
      <c r="T496" s="5"/>
    </row>
    <row r="497" spans="20:20" ht="15.75" customHeight="1">
      <c r="T497" s="5"/>
    </row>
    <row r="498" spans="20:20" ht="15.75" customHeight="1">
      <c r="T498" s="5"/>
    </row>
    <row r="499" spans="20:20" ht="15.75" customHeight="1">
      <c r="T499" s="5"/>
    </row>
    <row r="500" spans="20:20" ht="15.75" customHeight="1">
      <c r="T500" s="5"/>
    </row>
    <row r="501" spans="20:20" ht="15.75" customHeight="1">
      <c r="T501" s="5"/>
    </row>
    <row r="502" spans="20:20" ht="15.75" customHeight="1">
      <c r="T502" s="5"/>
    </row>
    <row r="503" spans="20:20" ht="15.75" customHeight="1">
      <c r="T503" s="5"/>
    </row>
    <row r="504" spans="20:20" ht="15.75" customHeight="1">
      <c r="T504" s="5"/>
    </row>
    <row r="505" spans="20:20" ht="15.75" customHeight="1">
      <c r="T505" s="5"/>
    </row>
    <row r="506" spans="20:20" ht="15.75" customHeight="1">
      <c r="T506" s="5"/>
    </row>
    <row r="507" spans="20:20" ht="15.75" customHeight="1">
      <c r="T507" s="5"/>
    </row>
    <row r="508" spans="20:20" ht="15.75" customHeight="1">
      <c r="T508" s="5"/>
    </row>
    <row r="509" spans="20:20" ht="15.75" customHeight="1">
      <c r="T509" s="5"/>
    </row>
    <row r="510" spans="20:20" ht="15.75" customHeight="1">
      <c r="T510" s="5"/>
    </row>
    <row r="511" spans="20:20" ht="15.75" customHeight="1">
      <c r="T511" s="5"/>
    </row>
    <row r="512" spans="20:20" ht="15.75" customHeight="1">
      <c r="T512" s="5"/>
    </row>
    <row r="513" spans="20:20" ht="15.75" customHeight="1">
      <c r="T513" s="5"/>
    </row>
    <row r="514" spans="20:20" ht="15.75" customHeight="1">
      <c r="T514" s="5"/>
    </row>
    <row r="515" spans="20:20" ht="15.75" customHeight="1">
      <c r="T515" s="5"/>
    </row>
    <row r="516" spans="20:20" ht="15.75" customHeight="1">
      <c r="T516" s="5"/>
    </row>
    <row r="517" spans="20:20" ht="15.75" customHeight="1">
      <c r="T517" s="5"/>
    </row>
    <row r="518" spans="20:20" ht="15.75" customHeight="1">
      <c r="T518" s="5"/>
    </row>
    <row r="519" spans="20:20" ht="15.75" customHeight="1">
      <c r="T519" s="5"/>
    </row>
    <row r="520" spans="20:20" ht="15.75" customHeight="1">
      <c r="T520" s="5"/>
    </row>
    <row r="521" spans="20:20" ht="15.75" customHeight="1">
      <c r="T521" s="5"/>
    </row>
    <row r="522" spans="20:20" ht="15.75" customHeight="1">
      <c r="T522" s="5"/>
    </row>
    <row r="523" spans="20:20" ht="15.75" customHeight="1">
      <c r="T523" s="5"/>
    </row>
    <row r="524" spans="20:20" ht="15.75" customHeight="1">
      <c r="T524" s="5"/>
    </row>
    <row r="525" spans="20:20" ht="15.75" customHeight="1">
      <c r="T525" s="5"/>
    </row>
    <row r="526" spans="20:20" ht="15.75" customHeight="1">
      <c r="T526" s="5"/>
    </row>
    <row r="527" spans="20:20" ht="15.75" customHeight="1">
      <c r="T527" s="5"/>
    </row>
    <row r="528" spans="20:20" ht="15.75" customHeight="1">
      <c r="T528" s="5"/>
    </row>
    <row r="529" spans="20:20" ht="15.75" customHeight="1">
      <c r="T529" s="5"/>
    </row>
    <row r="530" spans="20:20" ht="15.75" customHeight="1">
      <c r="T530" s="5"/>
    </row>
    <row r="531" spans="20:20" ht="15.75" customHeight="1">
      <c r="T531" s="5"/>
    </row>
    <row r="532" spans="20:20" ht="15.75" customHeight="1">
      <c r="T532" s="5"/>
    </row>
    <row r="533" spans="20:20" ht="15.75" customHeight="1">
      <c r="T533" s="5"/>
    </row>
    <row r="534" spans="20:20" ht="15.75" customHeight="1">
      <c r="T534" s="5"/>
    </row>
    <row r="535" spans="20:20" ht="15.75" customHeight="1">
      <c r="T535" s="5"/>
    </row>
    <row r="536" spans="20:20" ht="15.75" customHeight="1">
      <c r="T536" s="5"/>
    </row>
    <row r="537" spans="20:20" ht="15.75" customHeight="1">
      <c r="T537" s="5"/>
    </row>
    <row r="538" spans="20:20" ht="15.75" customHeight="1">
      <c r="T538" s="5"/>
    </row>
    <row r="539" spans="20:20" ht="15.75" customHeight="1">
      <c r="T539" s="5"/>
    </row>
    <row r="540" spans="20:20" ht="15.75" customHeight="1">
      <c r="T540" s="5"/>
    </row>
    <row r="541" spans="20:20" ht="15.75" customHeight="1">
      <c r="T541" s="5"/>
    </row>
    <row r="542" spans="20:20" ht="15.75" customHeight="1">
      <c r="T542" s="5"/>
    </row>
    <row r="543" spans="20:20" ht="15.75" customHeight="1">
      <c r="T543" s="5"/>
    </row>
    <row r="544" spans="20:20" ht="15.75" customHeight="1">
      <c r="T544" s="5"/>
    </row>
    <row r="545" spans="20:20" ht="15.75" customHeight="1">
      <c r="T545" s="5"/>
    </row>
    <row r="546" spans="20:20" ht="15.75" customHeight="1">
      <c r="T546" s="5"/>
    </row>
    <row r="547" spans="20:20" ht="15.75" customHeight="1">
      <c r="T547" s="5"/>
    </row>
    <row r="548" spans="20:20" ht="15.75" customHeight="1">
      <c r="T548" s="5"/>
    </row>
    <row r="549" spans="20:20" ht="15.75" customHeight="1">
      <c r="T549" s="5"/>
    </row>
    <row r="550" spans="20:20" ht="15.75" customHeight="1">
      <c r="T550" s="5"/>
    </row>
    <row r="551" spans="20:20" ht="15.75" customHeight="1">
      <c r="T551" s="5"/>
    </row>
    <row r="552" spans="20:20" ht="15.75" customHeight="1">
      <c r="T552" s="5"/>
    </row>
    <row r="553" spans="20:20" ht="15.75" customHeight="1">
      <c r="T553" s="5"/>
    </row>
    <row r="554" spans="20:20" ht="15.75" customHeight="1">
      <c r="T554" s="5"/>
    </row>
    <row r="555" spans="20:20" ht="15.75" customHeight="1">
      <c r="T555" s="5"/>
    </row>
    <row r="556" spans="20:20" ht="15.75" customHeight="1">
      <c r="T556" s="5"/>
    </row>
    <row r="557" spans="20:20" ht="15.75" customHeight="1">
      <c r="T557" s="5"/>
    </row>
    <row r="558" spans="20:20" ht="15.75" customHeight="1">
      <c r="T558" s="5"/>
    </row>
    <row r="559" spans="20:20" ht="15.75" customHeight="1">
      <c r="T559" s="5"/>
    </row>
    <row r="560" spans="20:20" ht="15.75" customHeight="1">
      <c r="T560" s="5"/>
    </row>
    <row r="561" spans="20:20" ht="15.75" customHeight="1">
      <c r="T561" s="5"/>
    </row>
    <row r="562" spans="20:20" ht="15.75" customHeight="1">
      <c r="T562" s="5"/>
    </row>
    <row r="563" spans="20:20" ht="15.75" customHeight="1">
      <c r="T563" s="5"/>
    </row>
    <row r="564" spans="20:20" ht="15.75" customHeight="1">
      <c r="T564" s="5"/>
    </row>
    <row r="565" spans="20:20" ht="15.75" customHeight="1">
      <c r="T565" s="5"/>
    </row>
    <row r="566" spans="20:20" ht="15.75" customHeight="1">
      <c r="T566" s="5"/>
    </row>
    <row r="567" spans="20:20" ht="15.75" customHeight="1">
      <c r="T567" s="5"/>
    </row>
    <row r="568" spans="20:20" ht="15.75" customHeight="1">
      <c r="T568" s="5"/>
    </row>
    <row r="569" spans="20:20" ht="15.75" customHeight="1">
      <c r="T569" s="5"/>
    </row>
    <row r="570" spans="20:20" ht="15.75" customHeight="1">
      <c r="T570" s="5"/>
    </row>
    <row r="571" spans="20:20" ht="15.75" customHeight="1">
      <c r="T571" s="5"/>
    </row>
    <row r="572" spans="20:20" ht="15.75" customHeight="1">
      <c r="T572" s="5"/>
    </row>
    <row r="573" spans="20:20" ht="15.75" customHeight="1">
      <c r="T573" s="5"/>
    </row>
    <row r="574" spans="20:20" ht="15.75" customHeight="1">
      <c r="T574" s="5"/>
    </row>
    <row r="575" spans="20:20" ht="15.75" customHeight="1">
      <c r="T575" s="5"/>
    </row>
    <row r="576" spans="20:20" ht="15.75" customHeight="1">
      <c r="T576" s="5"/>
    </row>
    <row r="577" spans="20:20" ht="15.75" customHeight="1">
      <c r="T577" s="5"/>
    </row>
    <row r="578" spans="20:20" ht="15.75" customHeight="1">
      <c r="T578" s="5"/>
    </row>
    <row r="579" spans="20:20" ht="15.75" customHeight="1">
      <c r="T579" s="5"/>
    </row>
    <row r="580" spans="20:20" ht="15.75" customHeight="1">
      <c r="T580" s="5"/>
    </row>
    <row r="581" spans="20:20" ht="15.75" customHeight="1">
      <c r="T581" s="5"/>
    </row>
    <row r="582" spans="20:20" ht="15.75" customHeight="1">
      <c r="T582" s="5"/>
    </row>
    <row r="583" spans="20:20" ht="15.75" customHeight="1">
      <c r="T583" s="5"/>
    </row>
    <row r="584" spans="20:20" ht="15.75" customHeight="1">
      <c r="T584" s="5"/>
    </row>
    <row r="585" spans="20:20" ht="15.75" customHeight="1">
      <c r="T585" s="5"/>
    </row>
    <row r="586" spans="20:20" ht="15.75" customHeight="1">
      <c r="T586" s="5"/>
    </row>
    <row r="587" spans="20:20" ht="15.75" customHeight="1">
      <c r="T587" s="5"/>
    </row>
    <row r="588" spans="20:20" ht="15.75" customHeight="1">
      <c r="T588" s="5"/>
    </row>
    <row r="589" spans="20:20" ht="15.75" customHeight="1">
      <c r="T589" s="5"/>
    </row>
    <row r="590" spans="20:20" ht="15.75" customHeight="1">
      <c r="T590" s="5"/>
    </row>
    <row r="591" spans="20:20" ht="15.75" customHeight="1">
      <c r="T591" s="5"/>
    </row>
    <row r="592" spans="20:20" ht="15.75" customHeight="1">
      <c r="T592" s="5"/>
    </row>
    <row r="593" spans="20:20" ht="15.75" customHeight="1">
      <c r="T593" s="5"/>
    </row>
    <row r="594" spans="20:20" ht="15.75" customHeight="1">
      <c r="T594" s="5"/>
    </row>
    <row r="595" spans="20:20" ht="15.75" customHeight="1">
      <c r="T595" s="5"/>
    </row>
    <row r="596" spans="20:20" ht="15.75" customHeight="1">
      <c r="T596" s="5"/>
    </row>
    <row r="597" spans="20:20" ht="15.75" customHeight="1">
      <c r="T597" s="5"/>
    </row>
    <row r="598" spans="20:20" ht="15.75" customHeight="1">
      <c r="T598" s="5"/>
    </row>
    <row r="599" spans="20:20" ht="15.75" customHeight="1">
      <c r="T599" s="5"/>
    </row>
    <row r="600" spans="20:20" ht="15.75" customHeight="1">
      <c r="T600" s="5"/>
    </row>
    <row r="601" spans="20:20" ht="15.75" customHeight="1">
      <c r="T601" s="5"/>
    </row>
    <row r="602" spans="20:20" ht="15.75" customHeight="1">
      <c r="T602" s="5"/>
    </row>
    <row r="603" spans="20:20" ht="15.75" customHeight="1">
      <c r="T603" s="5"/>
    </row>
    <row r="604" spans="20:20" ht="15.75" customHeight="1">
      <c r="T604" s="5"/>
    </row>
    <row r="605" spans="20:20" ht="15.75" customHeight="1">
      <c r="T605" s="5"/>
    </row>
    <row r="606" spans="20:20" ht="15.75" customHeight="1">
      <c r="T606" s="5"/>
    </row>
    <row r="607" spans="20:20" ht="15.75" customHeight="1">
      <c r="T607" s="5"/>
    </row>
    <row r="608" spans="20:20" ht="15.75" customHeight="1">
      <c r="T608" s="5"/>
    </row>
    <row r="609" spans="20:20" ht="15.75" customHeight="1">
      <c r="T609" s="5"/>
    </row>
    <row r="610" spans="20:20" ht="15.75" customHeight="1">
      <c r="T610" s="5"/>
    </row>
    <row r="611" spans="20:20" ht="15.75" customHeight="1">
      <c r="T611" s="5"/>
    </row>
    <row r="612" spans="20:20" ht="15.75" customHeight="1">
      <c r="T612" s="5"/>
    </row>
    <row r="613" spans="20:20" ht="15.75" customHeight="1">
      <c r="T613" s="5"/>
    </row>
    <row r="614" spans="20:20" ht="15.75" customHeight="1">
      <c r="T614" s="5"/>
    </row>
    <row r="615" spans="20:20" ht="15.75" customHeight="1">
      <c r="T615" s="5"/>
    </row>
    <row r="616" spans="20:20" ht="15.75" customHeight="1">
      <c r="T616" s="5"/>
    </row>
    <row r="617" spans="20:20" ht="15.75" customHeight="1">
      <c r="T617" s="5"/>
    </row>
    <row r="618" spans="20:20" ht="15.75" customHeight="1">
      <c r="T618" s="5"/>
    </row>
    <row r="619" spans="20:20" ht="15.75" customHeight="1">
      <c r="T619" s="5"/>
    </row>
    <row r="620" spans="20:20" ht="15.75" customHeight="1">
      <c r="T620" s="5"/>
    </row>
    <row r="621" spans="20:20" ht="15.75" customHeight="1">
      <c r="T621" s="5"/>
    </row>
    <row r="622" spans="20:20" ht="15.75" customHeight="1">
      <c r="T622" s="5"/>
    </row>
    <row r="623" spans="20:20" ht="15.75" customHeight="1">
      <c r="T623" s="5"/>
    </row>
    <row r="624" spans="20:20" ht="15.75" customHeight="1">
      <c r="T624" s="5"/>
    </row>
    <row r="625" spans="20:20" ht="15.75" customHeight="1">
      <c r="T625" s="5"/>
    </row>
    <row r="626" spans="20:20" ht="15.75" customHeight="1">
      <c r="T626" s="5"/>
    </row>
    <row r="627" spans="20:20" ht="15.75" customHeight="1">
      <c r="T627" s="5"/>
    </row>
    <row r="628" spans="20:20" ht="15.75" customHeight="1">
      <c r="T628" s="5"/>
    </row>
    <row r="629" spans="20:20" ht="15.75" customHeight="1">
      <c r="T629" s="5"/>
    </row>
    <row r="630" spans="20:20" ht="15.75" customHeight="1">
      <c r="T630" s="5"/>
    </row>
    <row r="631" spans="20:20" ht="15.75" customHeight="1">
      <c r="T631" s="5"/>
    </row>
    <row r="632" spans="20:20" ht="15.75" customHeight="1">
      <c r="T632" s="5"/>
    </row>
    <row r="633" spans="20:20" ht="15.75" customHeight="1">
      <c r="T633" s="5"/>
    </row>
    <row r="634" spans="20:20" ht="15.75" customHeight="1">
      <c r="T634" s="5"/>
    </row>
    <row r="635" spans="20:20" ht="15.75" customHeight="1">
      <c r="T635" s="5"/>
    </row>
    <row r="636" spans="20:20" ht="15.75" customHeight="1">
      <c r="T636" s="5"/>
    </row>
    <row r="637" spans="20:20" ht="15.75" customHeight="1">
      <c r="T637" s="5"/>
    </row>
    <row r="638" spans="20:20" ht="15.75" customHeight="1">
      <c r="T638" s="5"/>
    </row>
    <row r="639" spans="20:20" ht="15.75" customHeight="1">
      <c r="T639" s="5"/>
    </row>
    <row r="640" spans="20:20" ht="15.75" customHeight="1">
      <c r="T640" s="5"/>
    </row>
    <row r="641" spans="20:20" ht="15.75" customHeight="1">
      <c r="T641" s="5"/>
    </row>
    <row r="642" spans="20:20" ht="15.75" customHeight="1">
      <c r="T642" s="5"/>
    </row>
    <row r="643" spans="20:20" ht="15.75" customHeight="1">
      <c r="T643" s="5"/>
    </row>
    <row r="644" spans="20:20" ht="15.75" customHeight="1">
      <c r="T644" s="5"/>
    </row>
    <row r="645" spans="20:20" ht="15.75" customHeight="1">
      <c r="T645" s="5"/>
    </row>
    <row r="646" spans="20:20" ht="15.75" customHeight="1">
      <c r="T646" s="5"/>
    </row>
    <row r="647" spans="20:20" ht="15.75" customHeight="1">
      <c r="T647" s="5"/>
    </row>
    <row r="648" spans="20:20" ht="15.75" customHeight="1">
      <c r="T648" s="5"/>
    </row>
    <row r="649" spans="20:20" ht="15.75" customHeight="1">
      <c r="T649" s="5"/>
    </row>
    <row r="650" spans="20:20" ht="15.75" customHeight="1">
      <c r="T650" s="5"/>
    </row>
    <row r="651" spans="20:20" ht="15.75" customHeight="1">
      <c r="T651" s="5"/>
    </row>
    <row r="652" spans="20:20" ht="15.75" customHeight="1">
      <c r="T652" s="5"/>
    </row>
    <row r="653" spans="20:20" ht="15.75" customHeight="1">
      <c r="T653" s="5"/>
    </row>
    <row r="654" spans="20:20" ht="15.75" customHeight="1">
      <c r="T654" s="5"/>
    </row>
    <row r="655" spans="20:20" ht="15.75" customHeight="1">
      <c r="T655" s="5"/>
    </row>
    <row r="656" spans="20:20" ht="15.75" customHeight="1">
      <c r="T656" s="5"/>
    </row>
    <row r="657" spans="20:20" ht="15.75" customHeight="1">
      <c r="T657" s="5"/>
    </row>
    <row r="658" spans="20:20" ht="15.75" customHeight="1">
      <c r="T658" s="5"/>
    </row>
    <row r="659" spans="20:20" ht="15.75" customHeight="1">
      <c r="T659" s="5"/>
    </row>
    <row r="660" spans="20:20" ht="15.75" customHeight="1">
      <c r="T660" s="5"/>
    </row>
    <row r="661" spans="20:20" ht="15.75" customHeight="1">
      <c r="T661" s="5"/>
    </row>
    <row r="662" spans="20:20" ht="15.75" customHeight="1">
      <c r="T662" s="5"/>
    </row>
    <row r="663" spans="20:20" ht="15.75" customHeight="1">
      <c r="T663" s="5"/>
    </row>
    <row r="664" spans="20:20" ht="15.75" customHeight="1">
      <c r="T664" s="5"/>
    </row>
    <row r="665" spans="20:20" ht="15.75" customHeight="1">
      <c r="T665" s="5"/>
    </row>
    <row r="666" spans="20:20" ht="15.75" customHeight="1">
      <c r="T666" s="5"/>
    </row>
    <row r="667" spans="20:20" ht="15.75" customHeight="1">
      <c r="T667" s="5"/>
    </row>
    <row r="668" spans="20:20" ht="15.75" customHeight="1">
      <c r="T668" s="5"/>
    </row>
    <row r="669" spans="20:20" ht="15.75" customHeight="1">
      <c r="T669" s="5"/>
    </row>
    <row r="670" spans="20:20" ht="15.75" customHeight="1">
      <c r="T670" s="5"/>
    </row>
    <row r="671" spans="20:20" ht="15.75" customHeight="1">
      <c r="T671" s="5"/>
    </row>
    <row r="672" spans="20:20" ht="15.75" customHeight="1">
      <c r="T672" s="5"/>
    </row>
    <row r="673" spans="20:20" ht="15.75" customHeight="1">
      <c r="T673" s="5"/>
    </row>
    <row r="674" spans="20:20" ht="15.75" customHeight="1">
      <c r="T674" s="5"/>
    </row>
    <row r="675" spans="20:20" ht="15.75" customHeight="1">
      <c r="T675" s="5"/>
    </row>
    <row r="676" spans="20:20" ht="15.75" customHeight="1">
      <c r="T676" s="5"/>
    </row>
    <row r="677" spans="20:20" ht="15.75" customHeight="1">
      <c r="T677" s="5"/>
    </row>
    <row r="678" spans="20:20" ht="15.75" customHeight="1">
      <c r="T678" s="5"/>
    </row>
    <row r="679" spans="20:20" ht="15.75" customHeight="1">
      <c r="T679" s="5"/>
    </row>
    <row r="680" spans="20:20" ht="15.75" customHeight="1">
      <c r="T680" s="5"/>
    </row>
    <row r="681" spans="20:20" ht="15.75" customHeight="1">
      <c r="T681" s="5"/>
    </row>
    <row r="682" spans="20:20" ht="15.75" customHeight="1">
      <c r="T682" s="5"/>
    </row>
    <row r="683" spans="20:20" ht="15.75" customHeight="1">
      <c r="T683" s="5"/>
    </row>
    <row r="684" spans="20:20" ht="15.75" customHeight="1">
      <c r="T684" s="5"/>
    </row>
    <row r="685" spans="20:20" ht="15.75" customHeight="1">
      <c r="T685" s="5"/>
    </row>
    <row r="686" spans="20:20" ht="15.75" customHeight="1">
      <c r="T686" s="5"/>
    </row>
    <row r="687" spans="20:20" ht="15.75" customHeight="1">
      <c r="T687" s="5"/>
    </row>
    <row r="688" spans="20:20" ht="15.75" customHeight="1">
      <c r="T688" s="5"/>
    </row>
    <row r="689" spans="20:20" ht="15.75" customHeight="1">
      <c r="T689" s="5"/>
    </row>
    <row r="690" spans="20:20" ht="15.75" customHeight="1">
      <c r="T690" s="5"/>
    </row>
    <row r="691" spans="20:20" ht="15.75" customHeight="1">
      <c r="T691" s="5"/>
    </row>
    <row r="692" spans="20:20" ht="15.75" customHeight="1">
      <c r="T692" s="5"/>
    </row>
    <row r="693" spans="20:20" ht="15.75" customHeight="1">
      <c r="T693" s="5"/>
    </row>
    <row r="694" spans="20:20" ht="15.75" customHeight="1">
      <c r="T694" s="5"/>
    </row>
    <row r="695" spans="20:20" ht="15.75" customHeight="1">
      <c r="T695" s="5"/>
    </row>
    <row r="696" spans="20:20" ht="15.75" customHeight="1">
      <c r="T696" s="5"/>
    </row>
    <row r="697" spans="20:20" ht="15.75" customHeight="1">
      <c r="T697" s="5"/>
    </row>
    <row r="698" spans="20:20" ht="15.75" customHeight="1">
      <c r="T698" s="5"/>
    </row>
    <row r="699" spans="20:20" ht="15.75" customHeight="1">
      <c r="T699" s="5"/>
    </row>
    <row r="700" spans="20:20" ht="15.75" customHeight="1">
      <c r="T700" s="5"/>
    </row>
    <row r="701" spans="20:20" ht="15.75" customHeight="1">
      <c r="T701" s="5"/>
    </row>
    <row r="702" spans="20:20" ht="15.75" customHeight="1">
      <c r="T702" s="5"/>
    </row>
    <row r="703" spans="20:20" ht="15.75" customHeight="1">
      <c r="T703" s="5"/>
    </row>
    <row r="704" spans="20:20" ht="15.75" customHeight="1">
      <c r="T704" s="5"/>
    </row>
    <row r="705" spans="20:20" ht="15.75" customHeight="1">
      <c r="T705" s="5"/>
    </row>
    <row r="706" spans="20:20" ht="15.75" customHeight="1">
      <c r="T706" s="5"/>
    </row>
    <row r="707" spans="20:20" ht="15.75" customHeight="1">
      <c r="T707" s="5"/>
    </row>
    <row r="708" spans="20:20" ht="15.75" customHeight="1">
      <c r="T708" s="5"/>
    </row>
    <row r="709" spans="20:20" ht="15.75" customHeight="1">
      <c r="T709" s="5"/>
    </row>
    <row r="710" spans="20:20" ht="15.75" customHeight="1">
      <c r="T710" s="5"/>
    </row>
    <row r="711" spans="20:20" ht="15.75" customHeight="1">
      <c r="T711" s="5"/>
    </row>
    <row r="712" spans="20:20" ht="15.75" customHeight="1">
      <c r="T712" s="5"/>
    </row>
    <row r="713" spans="20:20" ht="15.75" customHeight="1">
      <c r="T713" s="5"/>
    </row>
    <row r="714" spans="20:20" ht="15.75" customHeight="1">
      <c r="T714" s="5"/>
    </row>
    <row r="715" spans="20:20" ht="15.75" customHeight="1">
      <c r="T715" s="5"/>
    </row>
    <row r="716" spans="20:20" ht="15.75" customHeight="1">
      <c r="T716" s="5"/>
    </row>
    <row r="717" spans="20:20" ht="15.75" customHeight="1">
      <c r="T717" s="5"/>
    </row>
    <row r="718" spans="20:20" ht="15.75" customHeight="1">
      <c r="T718" s="5"/>
    </row>
    <row r="719" spans="20:20" ht="15.75" customHeight="1">
      <c r="T719" s="5"/>
    </row>
    <row r="720" spans="20:20" ht="15.75" customHeight="1">
      <c r="T720" s="5"/>
    </row>
    <row r="721" spans="20:20" ht="15.75" customHeight="1">
      <c r="T721" s="5"/>
    </row>
    <row r="722" spans="20:20" ht="15.75" customHeight="1">
      <c r="T722" s="5"/>
    </row>
    <row r="723" spans="20:20" ht="15.75" customHeight="1">
      <c r="T723" s="5"/>
    </row>
    <row r="724" spans="20:20" ht="15.75" customHeight="1">
      <c r="T724" s="5"/>
    </row>
    <row r="725" spans="20:20" ht="15.75" customHeight="1">
      <c r="T725" s="5"/>
    </row>
    <row r="726" spans="20:20" ht="15.75" customHeight="1">
      <c r="T726" s="5"/>
    </row>
    <row r="727" spans="20:20" ht="15.75" customHeight="1">
      <c r="T727" s="5"/>
    </row>
    <row r="728" spans="20:20" ht="15.75" customHeight="1">
      <c r="T728" s="5"/>
    </row>
    <row r="729" spans="20:20" ht="15.75" customHeight="1">
      <c r="T729" s="5"/>
    </row>
    <row r="730" spans="20:20" ht="15.75" customHeight="1">
      <c r="T730" s="5"/>
    </row>
    <row r="731" spans="20:20" ht="15.75" customHeight="1">
      <c r="T731" s="5"/>
    </row>
    <row r="732" spans="20:20" ht="15.75" customHeight="1">
      <c r="T732" s="5"/>
    </row>
    <row r="733" spans="20:20" ht="15.75" customHeight="1">
      <c r="T733" s="5"/>
    </row>
    <row r="734" spans="20:20" ht="15.75" customHeight="1">
      <c r="T734" s="5"/>
    </row>
    <row r="735" spans="20:20" ht="15.75" customHeight="1">
      <c r="T735" s="5"/>
    </row>
    <row r="736" spans="20:20" ht="15.75" customHeight="1">
      <c r="T736" s="5"/>
    </row>
    <row r="737" spans="20:20" ht="15.75" customHeight="1">
      <c r="T737" s="5"/>
    </row>
    <row r="738" spans="20:20" ht="15.75" customHeight="1">
      <c r="T738" s="5"/>
    </row>
    <row r="739" spans="20:20" ht="15.75" customHeight="1">
      <c r="T739" s="5"/>
    </row>
    <row r="740" spans="20:20" ht="15.75" customHeight="1">
      <c r="T740" s="5"/>
    </row>
    <row r="741" spans="20:20" ht="15.75" customHeight="1">
      <c r="T741" s="5"/>
    </row>
    <row r="742" spans="20:20" ht="15.75" customHeight="1">
      <c r="T742" s="5"/>
    </row>
    <row r="743" spans="20:20" ht="15.75" customHeight="1">
      <c r="T743" s="5"/>
    </row>
    <row r="744" spans="20:20" ht="15.75" customHeight="1">
      <c r="T744" s="5"/>
    </row>
    <row r="745" spans="20:20" ht="15.75" customHeight="1">
      <c r="T745" s="5"/>
    </row>
    <row r="746" spans="20:20" ht="15.75" customHeight="1">
      <c r="T746" s="5"/>
    </row>
    <row r="747" spans="20:20" ht="15.75" customHeight="1">
      <c r="T747" s="5"/>
    </row>
    <row r="748" spans="20:20" ht="15.75" customHeight="1">
      <c r="T748" s="5"/>
    </row>
    <row r="749" spans="20:20" ht="15.75" customHeight="1">
      <c r="T749" s="5"/>
    </row>
    <row r="750" spans="20:20" ht="15.75" customHeight="1">
      <c r="T750" s="5"/>
    </row>
    <row r="751" spans="20:20" ht="15.75" customHeight="1">
      <c r="T751" s="5"/>
    </row>
    <row r="752" spans="20:20" ht="15.75" customHeight="1">
      <c r="T752" s="5"/>
    </row>
    <row r="753" spans="20:20" ht="15.75" customHeight="1">
      <c r="T753" s="5"/>
    </row>
    <row r="754" spans="20:20" ht="15.75" customHeight="1">
      <c r="T754" s="5"/>
    </row>
    <row r="755" spans="20:20" ht="15.75" customHeight="1">
      <c r="T755" s="5"/>
    </row>
    <row r="756" spans="20:20" ht="15.75" customHeight="1">
      <c r="T756" s="5"/>
    </row>
    <row r="757" spans="20:20" ht="15.75" customHeight="1">
      <c r="T757" s="5"/>
    </row>
    <row r="758" spans="20:20" ht="15.75" customHeight="1">
      <c r="T758" s="5"/>
    </row>
    <row r="759" spans="20:20" ht="15.75" customHeight="1">
      <c r="T759" s="5"/>
    </row>
    <row r="760" spans="20:20" ht="15.75" customHeight="1">
      <c r="T760" s="5"/>
    </row>
    <row r="761" spans="20:20" ht="15.75" customHeight="1">
      <c r="T761" s="5"/>
    </row>
    <row r="762" spans="20:20" ht="15.75" customHeight="1">
      <c r="T762" s="5"/>
    </row>
    <row r="763" spans="20:20" ht="15.75" customHeight="1">
      <c r="T763" s="5"/>
    </row>
    <row r="764" spans="20:20" ht="15.75" customHeight="1">
      <c r="T764" s="5"/>
    </row>
    <row r="765" spans="20:20" ht="15.75" customHeight="1">
      <c r="T765" s="5"/>
    </row>
    <row r="766" spans="20:20" ht="15.75" customHeight="1">
      <c r="T766" s="5"/>
    </row>
    <row r="767" spans="20:20" ht="15.75" customHeight="1">
      <c r="T767" s="5"/>
    </row>
    <row r="768" spans="20:20" ht="15.75" customHeight="1">
      <c r="T768" s="5"/>
    </row>
    <row r="769" spans="20:20" ht="15.75" customHeight="1">
      <c r="T769" s="5"/>
    </row>
    <row r="770" spans="20:20" ht="15.75" customHeight="1">
      <c r="T770" s="5"/>
    </row>
    <row r="771" spans="20:20" ht="15.75" customHeight="1">
      <c r="T771" s="5"/>
    </row>
    <row r="772" spans="20:20" ht="15.75" customHeight="1">
      <c r="T772" s="5"/>
    </row>
    <row r="773" spans="20:20" ht="15.75" customHeight="1">
      <c r="T773" s="5"/>
    </row>
    <row r="774" spans="20:20" ht="15.75" customHeight="1">
      <c r="T774" s="5"/>
    </row>
    <row r="775" spans="20:20" ht="15.75" customHeight="1">
      <c r="T775" s="5"/>
    </row>
    <row r="776" spans="20:20" ht="15.75" customHeight="1">
      <c r="T776" s="5"/>
    </row>
    <row r="777" spans="20:20" ht="15.75" customHeight="1">
      <c r="T777" s="5"/>
    </row>
    <row r="778" spans="20:20" ht="15.75" customHeight="1">
      <c r="T778" s="5"/>
    </row>
    <row r="779" spans="20:20" ht="15.75" customHeight="1">
      <c r="T779" s="5"/>
    </row>
    <row r="780" spans="20:20" ht="15.75" customHeight="1">
      <c r="T780" s="5"/>
    </row>
    <row r="781" spans="20:20" ht="15.75" customHeight="1">
      <c r="T781" s="5"/>
    </row>
    <row r="782" spans="20:20" ht="15.75" customHeight="1">
      <c r="T782" s="5"/>
    </row>
    <row r="783" spans="20:20" ht="15.75" customHeight="1">
      <c r="T783" s="5"/>
    </row>
    <row r="784" spans="20:20" ht="15.75" customHeight="1">
      <c r="T784" s="5"/>
    </row>
    <row r="785" spans="20:20" ht="15.75" customHeight="1">
      <c r="T785" s="5"/>
    </row>
    <row r="786" spans="20:20" ht="15.75" customHeight="1">
      <c r="T786" s="5"/>
    </row>
    <row r="787" spans="20:20" ht="15.75" customHeight="1">
      <c r="T787" s="5"/>
    </row>
    <row r="788" spans="20:20" ht="15.75" customHeight="1">
      <c r="T788" s="5"/>
    </row>
    <row r="789" spans="20:20" ht="15.75" customHeight="1">
      <c r="T789" s="5"/>
    </row>
    <row r="790" spans="20:20" ht="15.75" customHeight="1">
      <c r="T790" s="5"/>
    </row>
    <row r="791" spans="20:20" ht="15.75" customHeight="1">
      <c r="T791" s="5"/>
    </row>
    <row r="792" spans="20:20" ht="15.75" customHeight="1">
      <c r="T792" s="5"/>
    </row>
    <row r="793" spans="20:20" ht="15.75" customHeight="1">
      <c r="T793" s="5"/>
    </row>
    <row r="794" spans="20:20" ht="15.75" customHeight="1">
      <c r="T794" s="5"/>
    </row>
    <row r="795" spans="20:20" ht="15.75" customHeight="1">
      <c r="T795" s="5"/>
    </row>
    <row r="796" spans="20:20" ht="15.75" customHeight="1">
      <c r="T796" s="5"/>
    </row>
    <row r="797" spans="20:20" ht="15.75" customHeight="1">
      <c r="T797" s="5"/>
    </row>
    <row r="798" spans="20:20" ht="15.75" customHeight="1">
      <c r="T798" s="5"/>
    </row>
    <row r="799" spans="20:20" ht="15.75" customHeight="1">
      <c r="T799" s="5"/>
    </row>
    <row r="800" spans="20:20" ht="15.75" customHeight="1">
      <c r="T800" s="5"/>
    </row>
    <row r="801" spans="20:20" ht="15.75" customHeight="1">
      <c r="T801" s="5"/>
    </row>
    <row r="802" spans="20:20" ht="15.75" customHeight="1">
      <c r="T802" s="5"/>
    </row>
    <row r="803" spans="20:20" ht="15.75" customHeight="1">
      <c r="T803" s="5"/>
    </row>
    <row r="804" spans="20:20" ht="15.75" customHeight="1">
      <c r="T804" s="5"/>
    </row>
    <row r="805" spans="20:20" ht="15.75" customHeight="1">
      <c r="T805" s="5"/>
    </row>
    <row r="806" spans="20:20" ht="15.75" customHeight="1">
      <c r="T806" s="5"/>
    </row>
    <row r="807" spans="20:20" ht="15.75" customHeight="1">
      <c r="T807" s="5"/>
    </row>
    <row r="808" spans="20:20" ht="15.75" customHeight="1">
      <c r="T808" s="5"/>
    </row>
    <row r="809" spans="20:20" ht="15.75" customHeight="1">
      <c r="T809" s="5"/>
    </row>
    <row r="810" spans="20:20" ht="15.75" customHeight="1">
      <c r="T810" s="5"/>
    </row>
    <row r="811" spans="20:20" ht="15.75" customHeight="1">
      <c r="T811" s="5"/>
    </row>
    <row r="812" spans="20:20" ht="15.75" customHeight="1">
      <c r="T812" s="5"/>
    </row>
    <row r="813" spans="20:20" ht="15.75" customHeight="1">
      <c r="T813" s="5"/>
    </row>
    <row r="814" spans="20:20" ht="15.75" customHeight="1">
      <c r="T814" s="5"/>
    </row>
    <row r="815" spans="20:20" ht="15.75" customHeight="1">
      <c r="T815" s="5"/>
    </row>
    <row r="816" spans="20:20" ht="15.75" customHeight="1">
      <c r="T816" s="5"/>
    </row>
    <row r="817" spans="20:20" ht="15.75" customHeight="1">
      <c r="T817" s="5"/>
    </row>
    <row r="818" spans="20:20" ht="15.75" customHeight="1">
      <c r="T818" s="5"/>
    </row>
    <row r="819" spans="20:20" ht="15.75" customHeight="1">
      <c r="T819" s="5"/>
    </row>
    <row r="820" spans="20:20" ht="15.75" customHeight="1">
      <c r="T820" s="5"/>
    </row>
    <row r="821" spans="20:20" ht="15.75" customHeight="1">
      <c r="T821" s="5"/>
    </row>
    <row r="822" spans="20:20" ht="15.75" customHeight="1">
      <c r="T822" s="5"/>
    </row>
    <row r="823" spans="20:20" ht="15.75" customHeight="1">
      <c r="T823" s="5"/>
    </row>
    <row r="824" spans="20:20" ht="15.75" customHeight="1">
      <c r="T824" s="5"/>
    </row>
    <row r="825" spans="20:20" ht="15.75" customHeight="1">
      <c r="T825" s="5"/>
    </row>
    <row r="826" spans="20:20" ht="15.75" customHeight="1">
      <c r="T826" s="5"/>
    </row>
    <row r="827" spans="20:20" ht="15.75" customHeight="1">
      <c r="T827" s="5"/>
    </row>
    <row r="828" spans="20:20" ht="15.75" customHeight="1">
      <c r="T828" s="5"/>
    </row>
    <row r="829" spans="20:20" ht="15.75" customHeight="1">
      <c r="T829" s="5"/>
    </row>
    <row r="830" spans="20:20" ht="15.75" customHeight="1">
      <c r="T830" s="5"/>
    </row>
    <row r="831" spans="20:20" ht="15.75" customHeight="1">
      <c r="T831" s="5"/>
    </row>
    <row r="832" spans="20:20" ht="15.75" customHeight="1">
      <c r="T832" s="5"/>
    </row>
    <row r="833" spans="20:20" ht="15.75" customHeight="1">
      <c r="T833" s="5"/>
    </row>
    <row r="834" spans="20:20" ht="15.75" customHeight="1">
      <c r="T834" s="5"/>
    </row>
    <row r="835" spans="20:20" ht="15.75" customHeight="1">
      <c r="T835" s="5"/>
    </row>
    <row r="836" spans="20:20" ht="15.75" customHeight="1">
      <c r="T836" s="5"/>
    </row>
    <row r="837" spans="20:20" ht="15.75" customHeight="1">
      <c r="T837" s="5"/>
    </row>
    <row r="838" spans="20:20" ht="15.75" customHeight="1">
      <c r="T838" s="5"/>
    </row>
    <row r="839" spans="20:20" ht="15.75" customHeight="1">
      <c r="T839" s="5"/>
    </row>
    <row r="840" spans="20:20" ht="15.75" customHeight="1">
      <c r="T840" s="5"/>
    </row>
    <row r="841" spans="20:20" ht="15.75" customHeight="1">
      <c r="T841" s="5"/>
    </row>
    <row r="842" spans="20:20" ht="15.75" customHeight="1">
      <c r="T842" s="5"/>
    </row>
    <row r="843" spans="20:20" ht="15.75" customHeight="1">
      <c r="T843" s="5"/>
    </row>
    <row r="844" spans="20:20" ht="15.75" customHeight="1">
      <c r="T844" s="5"/>
    </row>
    <row r="845" spans="20:20" ht="15.75" customHeight="1">
      <c r="T845" s="5"/>
    </row>
    <row r="846" spans="20:20" ht="15.75" customHeight="1">
      <c r="T846" s="5"/>
    </row>
    <row r="847" spans="20:20" ht="15.75" customHeight="1">
      <c r="T847" s="5"/>
    </row>
    <row r="848" spans="20:20" ht="15.75" customHeight="1">
      <c r="T848" s="5"/>
    </row>
    <row r="849" spans="20:20" ht="15.75" customHeight="1">
      <c r="T849" s="5"/>
    </row>
    <row r="850" spans="20:20" ht="15.75" customHeight="1">
      <c r="T850" s="5"/>
    </row>
    <row r="851" spans="20:20" ht="15.75" customHeight="1">
      <c r="T851" s="5"/>
    </row>
    <row r="852" spans="20:20" ht="15.75" customHeight="1">
      <c r="T852" s="5"/>
    </row>
    <row r="853" spans="20:20" ht="15.75" customHeight="1">
      <c r="T853" s="5"/>
    </row>
    <row r="854" spans="20:20" ht="15.75" customHeight="1">
      <c r="T854" s="5"/>
    </row>
    <row r="855" spans="20:20" ht="15.75" customHeight="1">
      <c r="T855" s="5"/>
    </row>
    <row r="856" spans="20:20" ht="15.75" customHeight="1">
      <c r="T856" s="5"/>
    </row>
    <row r="857" spans="20:20" ht="15.75" customHeight="1">
      <c r="T857" s="5"/>
    </row>
    <row r="858" spans="20:20" ht="15.75" customHeight="1">
      <c r="T858" s="5"/>
    </row>
    <row r="859" spans="20:20" ht="15.75" customHeight="1">
      <c r="T859" s="5"/>
    </row>
    <row r="860" spans="20:20" ht="15.75" customHeight="1">
      <c r="T860" s="5"/>
    </row>
    <row r="861" spans="20:20" ht="15.75" customHeight="1">
      <c r="T861" s="5"/>
    </row>
    <row r="862" spans="20:20" ht="15.75" customHeight="1">
      <c r="T862" s="5"/>
    </row>
    <row r="863" spans="20:20" ht="15.75" customHeight="1">
      <c r="T863" s="5"/>
    </row>
    <row r="864" spans="20:20" ht="15.75" customHeight="1">
      <c r="T864" s="5"/>
    </row>
    <row r="865" spans="20:20" ht="15.75" customHeight="1">
      <c r="T865" s="5"/>
    </row>
    <row r="866" spans="20:20" ht="15.75" customHeight="1">
      <c r="T866" s="5"/>
    </row>
    <row r="867" spans="20:20" ht="15.75" customHeight="1">
      <c r="T867" s="5"/>
    </row>
    <row r="868" spans="20:20" ht="15.75" customHeight="1">
      <c r="T868" s="5"/>
    </row>
    <row r="869" spans="20:20" ht="15.75" customHeight="1">
      <c r="T869" s="5"/>
    </row>
    <row r="870" spans="20:20" ht="15.75" customHeight="1">
      <c r="T870" s="5"/>
    </row>
    <row r="871" spans="20:20" ht="15.75" customHeight="1">
      <c r="T871" s="5"/>
    </row>
    <row r="872" spans="20:20" ht="15.75" customHeight="1">
      <c r="T872" s="5"/>
    </row>
    <row r="873" spans="20:20" ht="15.75" customHeight="1">
      <c r="T873" s="5"/>
    </row>
    <row r="874" spans="20:20" ht="15.75" customHeight="1">
      <c r="T874" s="5"/>
    </row>
    <row r="875" spans="20:20" ht="15.75" customHeight="1">
      <c r="T875" s="5"/>
    </row>
    <row r="876" spans="20:20" ht="15.75" customHeight="1">
      <c r="T876" s="5"/>
    </row>
    <row r="877" spans="20:20" ht="15.75" customHeight="1">
      <c r="T877" s="5"/>
    </row>
    <row r="878" spans="20:20" ht="15.75" customHeight="1">
      <c r="T878" s="5"/>
    </row>
    <row r="879" spans="20:20" ht="15.75" customHeight="1">
      <c r="T879" s="5"/>
    </row>
    <row r="880" spans="20:20" ht="15.75" customHeight="1">
      <c r="T880" s="5"/>
    </row>
    <row r="881" spans="20:20" ht="15.75" customHeight="1">
      <c r="T881" s="5"/>
    </row>
    <row r="882" spans="20:20" ht="15.75" customHeight="1">
      <c r="T882" s="5"/>
    </row>
    <row r="883" spans="20:20" ht="15.75" customHeight="1">
      <c r="T883" s="5"/>
    </row>
    <row r="884" spans="20:20" ht="15.75" customHeight="1">
      <c r="T884" s="5"/>
    </row>
    <row r="885" spans="20:20" ht="15.75" customHeight="1">
      <c r="T885" s="5"/>
    </row>
    <row r="886" spans="20:20" ht="15.75" customHeight="1">
      <c r="T886" s="5"/>
    </row>
    <row r="887" spans="20:20" ht="15.75" customHeight="1">
      <c r="T887" s="5"/>
    </row>
    <row r="888" spans="20:20" ht="15.75" customHeight="1">
      <c r="T888" s="5"/>
    </row>
    <row r="889" spans="20:20" ht="15.75" customHeight="1">
      <c r="T889" s="5"/>
    </row>
    <row r="890" spans="20:20" ht="15.75" customHeight="1">
      <c r="T890" s="5"/>
    </row>
    <row r="891" spans="20:20" ht="15.75" customHeight="1">
      <c r="T891" s="5"/>
    </row>
    <row r="892" spans="20:20" ht="15.75" customHeight="1">
      <c r="T892" s="5"/>
    </row>
    <row r="893" spans="20:20" ht="15.75" customHeight="1">
      <c r="T893" s="5"/>
    </row>
    <row r="894" spans="20:20" ht="15.75" customHeight="1">
      <c r="T894" s="5"/>
    </row>
    <row r="895" spans="20:20" ht="15.75" customHeight="1">
      <c r="T895" s="5"/>
    </row>
    <row r="896" spans="20:20" ht="15.75" customHeight="1">
      <c r="T896" s="5"/>
    </row>
    <row r="897" spans="20:20" ht="15.75" customHeight="1">
      <c r="T897" s="5"/>
    </row>
    <row r="898" spans="20:20" ht="15.75" customHeight="1">
      <c r="T898" s="5"/>
    </row>
    <row r="899" spans="20:20" ht="15.75" customHeight="1">
      <c r="T899" s="5"/>
    </row>
    <row r="900" spans="20:20" ht="15.75" customHeight="1">
      <c r="T900" s="5"/>
    </row>
    <row r="901" spans="20:20" ht="15.75" customHeight="1">
      <c r="T901" s="5"/>
    </row>
    <row r="902" spans="20:20" ht="15.75" customHeight="1">
      <c r="T902" s="5"/>
    </row>
    <row r="903" spans="20:20" ht="15.75" customHeight="1">
      <c r="T903" s="5"/>
    </row>
    <row r="904" spans="20:20" ht="15.75" customHeight="1">
      <c r="T904" s="5"/>
    </row>
    <row r="905" spans="20:20" ht="15.75" customHeight="1">
      <c r="T905" s="5"/>
    </row>
    <row r="906" spans="20:20" ht="15.75" customHeight="1">
      <c r="T906" s="5"/>
    </row>
    <row r="907" spans="20:20" ht="15.75" customHeight="1">
      <c r="T907" s="5"/>
    </row>
    <row r="908" spans="20:20" ht="15.75" customHeight="1">
      <c r="T908" s="5"/>
    </row>
    <row r="909" spans="20:20" ht="15.75" customHeight="1">
      <c r="T909" s="5"/>
    </row>
    <row r="910" spans="20:20" ht="15.75" customHeight="1">
      <c r="T910" s="5"/>
    </row>
    <row r="911" spans="20:20" ht="15.75" customHeight="1">
      <c r="T911" s="5"/>
    </row>
    <row r="912" spans="20:20" ht="15.75" customHeight="1">
      <c r="T912" s="5"/>
    </row>
    <row r="913" spans="20:20" ht="15.75" customHeight="1">
      <c r="T913" s="5"/>
    </row>
    <row r="914" spans="20:20" ht="15.75" customHeight="1">
      <c r="T914" s="5"/>
    </row>
    <row r="915" spans="20:20" ht="15.75" customHeight="1">
      <c r="T915" s="5"/>
    </row>
    <row r="916" spans="20:20" ht="15.75" customHeight="1">
      <c r="T916" s="5"/>
    </row>
    <row r="917" spans="20:20" ht="15.75" customHeight="1">
      <c r="T917" s="5"/>
    </row>
    <row r="918" spans="20:20" ht="15.75" customHeight="1">
      <c r="T918" s="5"/>
    </row>
    <row r="919" spans="20:20" ht="15.75" customHeight="1">
      <c r="T919" s="5"/>
    </row>
    <row r="920" spans="20:20" ht="15.75" customHeight="1">
      <c r="T920" s="5"/>
    </row>
    <row r="921" spans="20:20" ht="15.75" customHeight="1">
      <c r="T921" s="5"/>
    </row>
    <row r="922" spans="20:20" ht="15.75" customHeight="1">
      <c r="T922" s="5"/>
    </row>
    <row r="923" spans="20:20" ht="15.75" customHeight="1">
      <c r="T923" s="5"/>
    </row>
    <row r="924" spans="20:20" ht="15.75" customHeight="1">
      <c r="T924" s="5"/>
    </row>
    <row r="925" spans="20:20" ht="15.75" customHeight="1">
      <c r="T925" s="5"/>
    </row>
    <row r="926" spans="20:20" ht="15.75" customHeight="1">
      <c r="T926" s="5"/>
    </row>
    <row r="927" spans="20:20" ht="15.75" customHeight="1">
      <c r="T927" s="5"/>
    </row>
    <row r="928" spans="20:20" ht="15.75" customHeight="1">
      <c r="T928" s="5"/>
    </row>
    <row r="929" spans="20:20" ht="15.75" customHeight="1">
      <c r="T929" s="5"/>
    </row>
    <row r="930" spans="20:20" ht="15.75" customHeight="1">
      <c r="T930" s="5"/>
    </row>
    <row r="931" spans="20:20" ht="15.75" customHeight="1">
      <c r="T931" s="5"/>
    </row>
    <row r="932" spans="20:20" ht="15.75" customHeight="1">
      <c r="T932" s="5"/>
    </row>
    <row r="933" spans="20:20" ht="15.75" customHeight="1">
      <c r="T933" s="5"/>
    </row>
    <row r="934" spans="20:20" ht="15.75" customHeight="1">
      <c r="T934" s="5"/>
    </row>
    <row r="935" spans="20:20" ht="15.75" customHeight="1">
      <c r="T935" s="5"/>
    </row>
    <row r="936" spans="20:20" ht="15.75" customHeight="1">
      <c r="T936" s="5"/>
    </row>
    <row r="937" spans="20:20" ht="15.75" customHeight="1">
      <c r="T937" s="5"/>
    </row>
    <row r="938" spans="20:20" ht="15.75" customHeight="1">
      <c r="T938" s="5"/>
    </row>
    <row r="939" spans="20:20" ht="15.75" customHeight="1">
      <c r="T939" s="5"/>
    </row>
    <row r="940" spans="20:20" ht="15.75" customHeight="1">
      <c r="T940" s="5"/>
    </row>
    <row r="941" spans="20:20" ht="15.75" customHeight="1">
      <c r="T941" s="5"/>
    </row>
    <row r="942" spans="20:20" ht="15.75" customHeight="1">
      <c r="T942" s="5"/>
    </row>
    <row r="943" spans="20:20" ht="15.75" customHeight="1">
      <c r="T943" s="5"/>
    </row>
    <row r="944" spans="20:20" ht="15.75" customHeight="1">
      <c r="T944" s="5"/>
    </row>
    <row r="945" spans="20:20" ht="15.75" customHeight="1">
      <c r="T945" s="5"/>
    </row>
    <row r="946" spans="20:20" ht="15.75" customHeight="1">
      <c r="T946" s="5"/>
    </row>
    <row r="947" spans="20:20" ht="15.75" customHeight="1">
      <c r="T947" s="5"/>
    </row>
    <row r="948" spans="20:20" ht="15.75" customHeight="1">
      <c r="T948" s="5"/>
    </row>
    <row r="949" spans="20:20" ht="15.75" customHeight="1">
      <c r="T949" s="5"/>
    </row>
    <row r="950" spans="20:20" ht="15.75" customHeight="1">
      <c r="T950" s="5"/>
    </row>
    <row r="951" spans="20:20" ht="15.75" customHeight="1">
      <c r="T951" s="5"/>
    </row>
    <row r="952" spans="20:20" ht="15.75" customHeight="1">
      <c r="T952" s="5"/>
    </row>
    <row r="953" spans="20:20" ht="15.75" customHeight="1">
      <c r="T953" s="5"/>
    </row>
    <row r="954" spans="20:20" ht="15.75" customHeight="1">
      <c r="T954" s="5"/>
    </row>
    <row r="955" spans="20:20" ht="15.75" customHeight="1">
      <c r="T955" s="5"/>
    </row>
    <row r="956" spans="20:20" ht="15.75" customHeight="1">
      <c r="T956" s="5"/>
    </row>
    <row r="957" spans="20:20" ht="15.75" customHeight="1">
      <c r="T957" s="5"/>
    </row>
    <row r="958" spans="20:20" ht="15.75" customHeight="1">
      <c r="T958" s="5"/>
    </row>
    <row r="959" spans="20:20" ht="15.75" customHeight="1">
      <c r="T959" s="5"/>
    </row>
    <row r="960" spans="20:20" ht="15.75" customHeight="1">
      <c r="T960" s="5"/>
    </row>
    <row r="961" spans="20:20" ht="15.75" customHeight="1">
      <c r="T961" s="5"/>
    </row>
    <row r="962" spans="20:20" ht="15.75" customHeight="1">
      <c r="T962" s="5"/>
    </row>
    <row r="963" spans="20:20" ht="15.75" customHeight="1">
      <c r="T963" s="5"/>
    </row>
    <row r="964" spans="20:20" ht="15.75" customHeight="1">
      <c r="T964" s="5"/>
    </row>
    <row r="965" spans="20:20" ht="15.75" customHeight="1">
      <c r="T965" s="5"/>
    </row>
    <row r="966" spans="20:20" ht="15.75" customHeight="1">
      <c r="T966" s="5"/>
    </row>
    <row r="967" spans="20:20" ht="15.75" customHeight="1">
      <c r="T967" s="5"/>
    </row>
    <row r="968" spans="20:20" ht="15.75" customHeight="1">
      <c r="T968" s="5"/>
    </row>
    <row r="969" spans="20:20" ht="15.75" customHeight="1">
      <c r="T969" s="5"/>
    </row>
    <row r="970" spans="20:20" ht="15.75" customHeight="1">
      <c r="T970" s="5"/>
    </row>
    <row r="971" spans="20:20" ht="15.75" customHeight="1">
      <c r="T971" s="5"/>
    </row>
    <row r="972" spans="20:20" ht="15.75" customHeight="1">
      <c r="T972" s="5"/>
    </row>
    <row r="973" spans="20:20" ht="15.75" customHeight="1">
      <c r="T973" s="5"/>
    </row>
    <row r="974" spans="20:20" ht="15.75" customHeight="1">
      <c r="T974" s="5"/>
    </row>
    <row r="975" spans="20:20" ht="15.75" customHeight="1">
      <c r="T975" s="5"/>
    </row>
    <row r="976" spans="20:20" ht="15.75" customHeight="1">
      <c r="T976" s="5"/>
    </row>
    <row r="977" spans="20:20" ht="15.75" customHeight="1">
      <c r="T977" s="5"/>
    </row>
    <row r="978" spans="20:20" ht="15.75" customHeight="1">
      <c r="T978" s="5"/>
    </row>
    <row r="979" spans="20:20" ht="15.75" customHeight="1">
      <c r="T979" s="5"/>
    </row>
    <row r="980" spans="20:20" ht="15.75" customHeight="1">
      <c r="T980" s="5"/>
    </row>
    <row r="981" spans="20:20" ht="15.75" customHeight="1">
      <c r="T981" s="5"/>
    </row>
    <row r="982" spans="20:20" ht="15.75" customHeight="1">
      <c r="T982" s="5"/>
    </row>
    <row r="983" spans="20:20" ht="15.75" customHeight="1">
      <c r="T983" s="5"/>
    </row>
    <row r="984" spans="20:20" ht="15.75" customHeight="1">
      <c r="T984" s="5"/>
    </row>
    <row r="985" spans="20:20" ht="15.75" customHeight="1">
      <c r="T985" s="5"/>
    </row>
    <row r="986" spans="20:20" ht="15.75" customHeight="1">
      <c r="T986" s="5"/>
    </row>
    <row r="987" spans="20:20" ht="15.75" customHeight="1">
      <c r="T987" s="5"/>
    </row>
    <row r="988" spans="20:20" ht="15.75" customHeight="1">
      <c r="T988" s="5"/>
    </row>
    <row r="989" spans="20:20" ht="15.75" customHeight="1">
      <c r="T989" s="5"/>
    </row>
    <row r="990" spans="20:20" ht="15.75" customHeight="1">
      <c r="T990" s="5"/>
    </row>
    <row r="991" spans="20:20" ht="15.75" customHeight="1">
      <c r="T991" s="5"/>
    </row>
    <row r="992" spans="20:20" ht="15.75" customHeight="1">
      <c r="T992" s="5"/>
    </row>
    <row r="993" spans="20:20" ht="15.75" customHeight="1">
      <c r="T993" s="5"/>
    </row>
    <row r="994" spans="20:20" ht="15.75" customHeight="1">
      <c r="T994" s="5"/>
    </row>
    <row r="995" spans="20:20" ht="15.75" customHeight="1">
      <c r="T995" s="5"/>
    </row>
    <row r="996" spans="20:20" ht="15.75" customHeight="1">
      <c r="T996" s="5"/>
    </row>
    <row r="997" spans="20:20" ht="15.75" customHeight="1">
      <c r="T997" s="5"/>
    </row>
    <row r="998" spans="20:20" ht="15.75" customHeight="1">
      <c r="T998" s="5"/>
    </row>
    <row r="999" spans="20:20" ht="15.75" customHeight="1">
      <c r="T999" s="5"/>
    </row>
    <row r="1000" spans="20:20" ht="15.75" customHeight="1">
      <c r="T1000" s="5"/>
    </row>
  </sheetData>
  <mergeCells count="3">
    <mergeCell ref="A1:T1"/>
    <mergeCell ref="A4:T4"/>
    <mergeCell ref="A2:T2"/>
  </mergeCells>
  <conditionalFormatting sqref="K6:K90">
    <cfRule type="containsText" dxfId="60" priority="1" operator="containsText" text="Hoàn thành">
      <formula>NOT(ISERROR(SEARCH(("Hoàn thành"),(K6))))</formula>
    </cfRule>
    <cfRule type="containsText" dxfId="59" priority="2" operator="containsText" text="Đang làm">
      <formula>NOT(ISERROR(SEARCH(("Đang làm"),(K6))))</formula>
    </cfRule>
    <cfRule type="containsText" dxfId="58" priority="3" operator="containsText" text="Rủi ro">
      <formula>NOT(ISERROR(SEARCH(("Rủi ro"),(K6))))</formula>
    </cfRule>
    <cfRule type="containsText" dxfId="57" priority="4" operator="containsText" text="Tạm dừng">
      <formula>NOT(ISERROR(SEARCH(("Tạm dừng"),(K6))))</formula>
    </cfRule>
  </conditionalFormatting>
  <dataValidations count="4">
    <dataValidation type="list" allowBlank="1" sqref="H6:H90" xr:uid="{00000000-0002-0000-0100-000000000000}">
      <formula1>"P0 - Chặn đường găng,P1 - Cao,P2 - Trung bình"</formula1>
    </dataValidation>
    <dataValidation type="list" allowBlank="1" sqref="K6:K90" xr:uid="{00000000-0002-0000-0100-000001000000}">
      <formula1>"Chưa bắt đầu,Đang làm,Rủi ro,Tạm dừng,Hoàn thành"</formula1>
    </dataValidation>
    <dataValidation type="list" allowBlank="1" sqref="J6:J90" xr:uid="{00000000-0002-0000-0100-000002000000}">
      <formula1>"Backend Dev,Frontend Dev,PM"</formula1>
    </dataValidation>
    <dataValidation type="list" allowBlank="1" sqref="O6:R90" xr:uid="{00000000-0002-0000-0100-000003000000}">
      <formula1>"Chưa,Đang làm,Hoàn tất,N/A"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showGridLines="0" workbookViewId="0">
      <selection activeCell="K5" sqref="K5:K14"/>
    </sheetView>
  </sheetViews>
  <sheetFormatPr defaultColWidth="12.625" defaultRowHeight="15" customHeight="1"/>
  <cols>
    <col min="1" max="1" width="10.875" style="35" customWidth="1"/>
    <col min="2" max="2" width="26.25" style="35" customWidth="1"/>
    <col min="3" max="3" width="18.125" style="35" customWidth="1"/>
    <col min="4" max="4" width="9.375" style="35" customWidth="1"/>
    <col min="5" max="5" width="10.25" style="35" customWidth="1"/>
    <col min="6" max="6" width="9.375" style="35" customWidth="1"/>
    <col min="7" max="7" width="8.75" style="35" customWidth="1"/>
    <col min="8" max="10" width="11.5" style="35" customWidth="1"/>
    <col min="11" max="11" width="45" style="35" customWidth="1"/>
    <col min="12" max="25" width="7.25" style="35" customWidth="1"/>
    <col min="26" max="26" width="8.625" style="35" customWidth="1"/>
    <col min="27" max="16384" width="12.625" style="35"/>
  </cols>
  <sheetData>
    <row r="1" spans="1:25" ht="20.25" customHeight="1">
      <c r="A1" s="32" t="s">
        <v>448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5" ht="14.25" customHeight="1">
      <c r="A2" s="36" t="s">
        <v>449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8"/>
    </row>
    <row r="4" spans="1:25" ht="25.5" customHeight="1">
      <c r="A4" s="39" t="s">
        <v>450</v>
      </c>
      <c r="B4" s="39" t="s">
        <v>451</v>
      </c>
      <c r="C4" s="39" t="s">
        <v>66</v>
      </c>
      <c r="D4" s="39" t="s">
        <v>452</v>
      </c>
      <c r="E4" s="39" t="s">
        <v>6</v>
      </c>
      <c r="F4" s="39" t="s">
        <v>8</v>
      </c>
      <c r="G4" s="39" t="s">
        <v>9</v>
      </c>
      <c r="H4" s="39" t="s">
        <v>75</v>
      </c>
      <c r="I4" s="39" t="s">
        <v>76</v>
      </c>
      <c r="J4" s="39" t="s">
        <v>453</v>
      </c>
      <c r="K4" s="39" t="s">
        <v>454</v>
      </c>
      <c r="L4" s="39" t="s">
        <v>455</v>
      </c>
      <c r="M4" s="39" t="s">
        <v>456</v>
      </c>
      <c r="N4" s="39" t="s">
        <v>457</v>
      </c>
      <c r="O4" s="39" t="s">
        <v>458</v>
      </c>
      <c r="P4" s="39" t="s">
        <v>459</v>
      </c>
      <c r="Q4" s="39" t="s">
        <v>460</v>
      </c>
      <c r="R4" s="39" t="s">
        <v>461</v>
      </c>
      <c r="S4" s="39" t="s">
        <v>462</v>
      </c>
      <c r="T4" s="39" t="s">
        <v>463</v>
      </c>
      <c r="U4" s="39" t="s">
        <v>464</v>
      </c>
      <c r="V4" s="39" t="s">
        <v>465</v>
      </c>
      <c r="W4" s="39" t="s">
        <v>466</v>
      </c>
      <c r="X4" s="39" t="s">
        <v>467</v>
      </c>
      <c r="Y4" s="39" t="s">
        <v>468</v>
      </c>
    </row>
    <row r="5" spans="1:25" ht="25.5" customHeight="1">
      <c r="A5" s="29">
        <v>1</v>
      </c>
      <c r="B5" s="29" t="s">
        <v>469</v>
      </c>
      <c r="C5" s="29" t="s">
        <v>19</v>
      </c>
      <c r="D5" s="29">
        <f>COUNTIF('Kế hoạch Task'!$B$6:$B$90,A5)</f>
        <v>8</v>
      </c>
      <c r="E5" s="29">
        <f>COUNTIFS('Kế hoạch Task'!$B$6:$B$90,A5,'Kế hoạch Task'!$K$6:$K$90,"Hoàn thành")</f>
        <v>8</v>
      </c>
      <c r="F5" s="29">
        <f>COUNTIFS('Kế hoạch Task'!$B$6:$B$90,A5,'Kế hoạch Task'!$K$6:$K$90,"Đang làm")</f>
        <v>0</v>
      </c>
      <c r="G5" s="29">
        <f>COUNTIFS('Kế hoạch Task'!$B$6:$B$90,A5,'Kế hoạch Task'!$K$6:$K$90,"Rủi ro")</f>
        <v>0</v>
      </c>
      <c r="H5" s="30">
        <f t="shared" ref="H5:H14" si="0">IF(D5=0,0,E5/D5)</f>
        <v>1</v>
      </c>
      <c r="I5" s="31">
        <v>46190</v>
      </c>
      <c r="J5" s="31">
        <v>46191</v>
      </c>
      <c r="K5" s="29" t="s">
        <v>470</v>
      </c>
      <c r="L5" s="40" t="s">
        <v>471</v>
      </c>
      <c r="M5" s="40" t="s">
        <v>471</v>
      </c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25.5" customHeight="1">
      <c r="A6" s="29">
        <v>2</v>
      </c>
      <c r="B6" s="29" t="s">
        <v>472</v>
      </c>
      <c r="C6" s="29" t="s">
        <v>122</v>
      </c>
      <c r="D6" s="29">
        <f>COUNTIF('Kế hoạch Task'!$B$6:$B$90,A6)</f>
        <v>10</v>
      </c>
      <c r="E6" s="29">
        <f>COUNTIFS('Kế hoạch Task'!$B$6:$B$90,A6,'Kế hoạch Task'!$K$6:$K$90,"Hoàn thành")</f>
        <v>10</v>
      </c>
      <c r="F6" s="29">
        <f>COUNTIFS('Kế hoạch Task'!$B$6:$B$90,A6,'Kế hoạch Task'!$K$6:$K$90,"Đang làm")</f>
        <v>0</v>
      </c>
      <c r="G6" s="29">
        <f>COUNTIFS('Kế hoạch Task'!$B$6:$B$90,A6,'Kế hoạch Task'!$K$6:$K$90,"Rủi ro")</f>
        <v>0</v>
      </c>
      <c r="H6" s="30">
        <f t="shared" si="0"/>
        <v>1</v>
      </c>
      <c r="I6" s="31">
        <v>46191</v>
      </c>
      <c r="J6" s="31">
        <v>46193</v>
      </c>
      <c r="K6" s="29" t="s">
        <v>473</v>
      </c>
      <c r="L6" s="40"/>
      <c r="M6" s="40" t="s">
        <v>471</v>
      </c>
      <c r="N6" s="40" t="s">
        <v>471</v>
      </c>
      <c r="O6" s="40" t="s">
        <v>471</v>
      </c>
      <c r="P6" s="40"/>
      <c r="Q6" s="40"/>
      <c r="R6" s="40"/>
      <c r="S6" s="40"/>
      <c r="T6" s="40"/>
      <c r="U6" s="40"/>
      <c r="V6" s="40"/>
      <c r="W6" s="40"/>
      <c r="X6" s="40"/>
      <c r="Y6" s="40"/>
    </row>
    <row r="7" spans="1:25" ht="25.5" customHeight="1">
      <c r="A7" s="29">
        <v>3</v>
      </c>
      <c r="B7" s="29" t="s">
        <v>474</v>
      </c>
      <c r="C7" s="29" t="s">
        <v>164</v>
      </c>
      <c r="D7" s="29">
        <f>COUNTIF('Kế hoạch Task'!$B$6:$B$90,A7)</f>
        <v>8</v>
      </c>
      <c r="E7" s="29">
        <f>COUNTIFS('Kế hoạch Task'!$B$6:$B$90,A7,'Kế hoạch Task'!$K$6:$K$90,"Hoàn thành")</f>
        <v>8</v>
      </c>
      <c r="F7" s="29">
        <f>COUNTIFS('Kế hoạch Task'!$B$6:$B$90,A7,'Kế hoạch Task'!$K$6:$K$90,"Đang làm")</f>
        <v>0</v>
      </c>
      <c r="G7" s="29">
        <f>COUNTIFS('Kế hoạch Task'!$B$6:$B$90,A7,'Kế hoạch Task'!$K$6:$K$90,"Rủi ro")</f>
        <v>0</v>
      </c>
      <c r="H7" s="30">
        <f t="shared" si="0"/>
        <v>1</v>
      </c>
      <c r="I7" s="31">
        <v>46193</v>
      </c>
      <c r="J7" s="31">
        <v>46194</v>
      </c>
      <c r="K7" s="29" t="s">
        <v>475</v>
      </c>
      <c r="L7" s="40"/>
      <c r="M7" s="40"/>
      <c r="N7" s="40"/>
      <c r="O7" s="40" t="s">
        <v>471</v>
      </c>
      <c r="P7" s="40" t="s">
        <v>471</v>
      </c>
      <c r="Q7" s="40"/>
      <c r="R7" s="40"/>
      <c r="S7" s="40"/>
      <c r="T7" s="40"/>
      <c r="U7" s="40"/>
      <c r="V7" s="40"/>
      <c r="W7" s="40"/>
      <c r="X7" s="40"/>
      <c r="Y7" s="40"/>
    </row>
    <row r="8" spans="1:25" ht="25.5" customHeight="1">
      <c r="A8" s="29">
        <v>4</v>
      </c>
      <c r="B8" s="29" t="s">
        <v>476</v>
      </c>
      <c r="C8" s="29" t="s">
        <v>194</v>
      </c>
      <c r="D8" s="29">
        <f>COUNTIF('Kế hoạch Task'!$B$6:$B$90,A8)</f>
        <v>7</v>
      </c>
      <c r="E8" s="29">
        <f>COUNTIFS('Kế hoạch Task'!$B$6:$B$90,A8,'Kế hoạch Task'!$K$6:$K$90,"Hoàn thành")</f>
        <v>7</v>
      </c>
      <c r="F8" s="29">
        <f>COUNTIFS('Kế hoạch Task'!$B$6:$B$90,A8,'Kế hoạch Task'!$K$6:$K$90,"Đang làm")</f>
        <v>0</v>
      </c>
      <c r="G8" s="29">
        <f>COUNTIFS('Kế hoạch Task'!$B$6:$B$90,A8,'Kế hoạch Task'!$K$6:$K$90,"Rủi ro")</f>
        <v>0</v>
      </c>
      <c r="H8" s="30">
        <f t="shared" si="0"/>
        <v>1</v>
      </c>
      <c r="I8" s="31">
        <v>46194</v>
      </c>
      <c r="J8" s="31">
        <v>46195</v>
      </c>
      <c r="K8" s="29" t="s">
        <v>477</v>
      </c>
      <c r="L8" s="40"/>
      <c r="M8" s="40"/>
      <c r="N8" s="40"/>
      <c r="O8" s="40"/>
      <c r="P8" s="40" t="s">
        <v>471</v>
      </c>
      <c r="Q8" s="40" t="s">
        <v>471</v>
      </c>
      <c r="R8" s="40"/>
      <c r="S8" s="40"/>
      <c r="T8" s="40"/>
      <c r="U8" s="40"/>
      <c r="V8" s="40"/>
      <c r="W8" s="40"/>
      <c r="X8" s="40"/>
      <c r="Y8" s="40"/>
    </row>
    <row r="9" spans="1:25" ht="25.5" customHeight="1">
      <c r="A9" s="29">
        <v>5</v>
      </c>
      <c r="B9" s="29" t="s">
        <v>478</v>
      </c>
      <c r="C9" s="29" t="s">
        <v>221</v>
      </c>
      <c r="D9" s="29">
        <f>COUNTIF('Kế hoạch Task'!$B$6:$B$90,A9)</f>
        <v>10</v>
      </c>
      <c r="E9" s="29">
        <f>COUNTIFS('Kế hoạch Task'!$B$6:$B$90,A9,'Kế hoạch Task'!$K$6:$K$90,"Hoàn thành")</f>
        <v>10</v>
      </c>
      <c r="F9" s="29">
        <f>COUNTIFS('Kế hoạch Task'!$B$6:$B$90,A9,'Kế hoạch Task'!$K$6:$K$90,"Đang làm")</f>
        <v>0</v>
      </c>
      <c r="G9" s="29">
        <f>COUNTIFS('Kế hoạch Task'!$B$6:$B$90,A9,'Kế hoạch Task'!$K$6:$K$90,"Rủi ro")</f>
        <v>0</v>
      </c>
      <c r="H9" s="30">
        <f t="shared" si="0"/>
        <v>1</v>
      </c>
      <c r="I9" s="31">
        <v>46195</v>
      </c>
      <c r="J9" s="31">
        <v>46197</v>
      </c>
      <c r="K9" s="29" t="s">
        <v>479</v>
      </c>
      <c r="L9" s="40"/>
      <c r="M9" s="40"/>
      <c r="N9" s="40"/>
      <c r="O9" s="40"/>
      <c r="P9" s="40"/>
      <c r="Q9" s="40" t="s">
        <v>471</v>
      </c>
      <c r="R9" s="40" t="s">
        <v>471</v>
      </c>
      <c r="S9" s="40" t="s">
        <v>471</v>
      </c>
      <c r="T9" s="40"/>
      <c r="U9" s="40"/>
      <c r="V9" s="40"/>
      <c r="W9" s="40"/>
      <c r="X9" s="40"/>
      <c r="Y9" s="40"/>
    </row>
    <row r="10" spans="1:25" ht="25.5" customHeight="1">
      <c r="A10" s="29">
        <v>6</v>
      </c>
      <c r="B10" s="29" t="s">
        <v>480</v>
      </c>
      <c r="C10" s="29" t="s">
        <v>263</v>
      </c>
      <c r="D10" s="29">
        <f>COUNTIF('Kế hoạch Task'!$B$6:$B$90,A10)</f>
        <v>8</v>
      </c>
      <c r="E10" s="29">
        <f>COUNTIFS('Kế hoạch Task'!$B$6:$B$90,A10,'Kế hoạch Task'!$K$6:$K$90,"Hoàn thành")</f>
        <v>8</v>
      </c>
      <c r="F10" s="29">
        <f>COUNTIFS('Kế hoạch Task'!$B$6:$B$90,A10,'Kế hoạch Task'!$K$6:$K$90,"Đang làm")</f>
        <v>0</v>
      </c>
      <c r="G10" s="29">
        <f>COUNTIFS('Kế hoạch Task'!$B$6:$B$90,A10,'Kế hoạch Task'!$K$6:$K$90,"Rủi ro")</f>
        <v>0</v>
      </c>
      <c r="H10" s="30">
        <f t="shared" si="0"/>
        <v>1</v>
      </c>
      <c r="I10" s="31">
        <v>46197</v>
      </c>
      <c r="J10" s="31">
        <v>46199</v>
      </c>
      <c r="K10" s="29" t="s">
        <v>481</v>
      </c>
      <c r="L10" s="40"/>
      <c r="M10" s="40"/>
      <c r="N10" s="40"/>
      <c r="O10" s="40"/>
      <c r="P10" s="40"/>
      <c r="Q10" s="40"/>
      <c r="R10" s="40"/>
      <c r="S10" s="40" t="s">
        <v>471</v>
      </c>
      <c r="T10" s="40" t="s">
        <v>471</v>
      </c>
      <c r="U10" s="40" t="s">
        <v>471</v>
      </c>
      <c r="V10" s="40"/>
      <c r="W10" s="40"/>
      <c r="X10" s="40"/>
      <c r="Y10" s="40"/>
    </row>
    <row r="11" spans="1:25" ht="25.5" customHeight="1">
      <c r="A11" s="29">
        <v>7</v>
      </c>
      <c r="B11" s="29" t="s">
        <v>482</v>
      </c>
      <c r="C11" s="29" t="s">
        <v>295</v>
      </c>
      <c r="D11" s="29">
        <f>COUNTIF('Kế hoạch Task'!$B$6:$B$90,A11)</f>
        <v>12</v>
      </c>
      <c r="E11" s="29">
        <f>COUNTIFS('Kế hoạch Task'!$B$6:$B$90,A11,'Kế hoạch Task'!$K$6:$K$90,"Hoàn thành")</f>
        <v>12</v>
      </c>
      <c r="F11" s="29">
        <f>COUNTIFS('Kế hoạch Task'!$B$6:$B$90,A11,'Kế hoạch Task'!$K$6:$K$90,"Đang làm")</f>
        <v>0</v>
      </c>
      <c r="G11" s="29">
        <f>COUNTIFS('Kế hoạch Task'!$B$6:$B$90,A11,'Kế hoạch Task'!$K$6:$K$90,"Rủi ro")</f>
        <v>0</v>
      </c>
      <c r="H11" s="30">
        <f t="shared" si="0"/>
        <v>1</v>
      </c>
      <c r="I11" s="31">
        <v>46198</v>
      </c>
      <c r="J11" s="31">
        <v>46201</v>
      </c>
      <c r="K11" s="29" t="s">
        <v>483</v>
      </c>
      <c r="L11" s="40"/>
      <c r="M11" s="40"/>
      <c r="N11" s="40"/>
      <c r="O11" s="40"/>
      <c r="P11" s="40"/>
      <c r="Q11" s="40"/>
      <c r="R11" s="40"/>
      <c r="S11" s="40"/>
      <c r="T11" s="40" t="s">
        <v>471</v>
      </c>
      <c r="U11" s="40" t="s">
        <v>471</v>
      </c>
      <c r="V11" s="40" t="s">
        <v>471</v>
      </c>
      <c r="W11" s="40" t="s">
        <v>471</v>
      </c>
      <c r="X11" s="40"/>
      <c r="Y11" s="40"/>
    </row>
    <row r="12" spans="1:25" ht="25.5" customHeight="1">
      <c r="A12" s="29">
        <v>8</v>
      </c>
      <c r="B12" s="29" t="s">
        <v>484</v>
      </c>
      <c r="C12" s="29" t="s">
        <v>336</v>
      </c>
      <c r="D12" s="29">
        <f>COUNTIF('Kế hoạch Task'!$B$6:$B$90,A12)</f>
        <v>7</v>
      </c>
      <c r="E12" s="29">
        <f>COUNTIFS('Kế hoạch Task'!$B$6:$B$90,A12,'Kế hoạch Task'!$K$6:$K$90,"Hoàn thành")</f>
        <v>7</v>
      </c>
      <c r="F12" s="29">
        <f>COUNTIFS('Kế hoạch Task'!$B$6:$B$90,A12,'Kế hoạch Task'!$K$6:$K$90,"Đang làm")</f>
        <v>0</v>
      </c>
      <c r="G12" s="29">
        <f>COUNTIFS('Kế hoạch Task'!$B$6:$B$90,A12,'Kế hoạch Task'!$K$6:$K$90,"Rủi ro")</f>
        <v>0</v>
      </c>
      <c r="H12" s="30">
        <f t="shared" si="0"/>
        <v>1</v>
      </c>
      <c r="I12" s="31">
        <v>46200</v>
      </c>
      <c r="J12" s="31">
        <v>46202</v>
      </c>
      <c r="K12" s="29" t="s">
        <v>485</v>
      </c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 t="s">
        <v>471</v>
      </c>
      <c r="W12" s="40" t="s">
        <v>471</v>
      </c>
      <c r="X12" s="40" t="s">
        <v>471</v>
      </c>
      <c r="Y12" s="40"/>
    </row>
    <row r="13" spans="1:25" ht="25.5" customHeight="1">
      <c r="A13" s="29">
        <v>9</v>
      </c>
      <c r="B13" s="29" t="s">
        <v>486</v>
      </c>
      <c r="C13" s="29" t="s">
        <v>50</v>
      </c>
      <c r="D13" s="29">
        <f>COUNTIF('Kế hoạch Task'!$B$6:$B$90,A13)</f>
        <v>9</v>
      </c>
      <c r="E13" s="29">
        <f>COUNTIFS('Kế hoạch Task'!$B$6:$B$90,A13,'Kế hoạch Task'!$K$6:$K$90,"Hoàn thành")</f>
        <v>1</v>
      </c>
      <c r="F13" s="29">
        <f>COUNTIFS('Kế hoạch Task'!$B$6:$B$90,A13,'Kế hoạch Task'!$K$6:$K$90,"Đang làm")</f>
        <v>0</v>
      </c>
      <c r="G13" s="29">
        <f>COUNTIFS('Kế hoạch Task'!$B$6:$B$90,A13,'Kế hoạch Task'!$K$6:$K$90,"Rủi ro")</f>
        <v>0</v>
      </c>
      <c r="H13" s="30">
        <f t="shared" si="0"/>
        <v>0.1111111111111111</v>
      </c>
      <c r="I13" s="31">
        <v>46199</v>
      </c>
      <c r="J13" s="31">
        <v>46202</v>
      </c>
      <c r="K13" s="29" t="s">
        <v>487</v>
      </c>
      <c r="L13" s="40"/>
      <c r="M13" s="40"/>
      <c r="N13" s="40"/>
      <c r="O13" s="40"/>
      <c r="P13" s="40"/>
      <c r="Q13" s="40"/>
      <c r="R13" s="40"/>
      <c r="S13" s="40"/>
      <c r="T13" s="40"/>
      <c r="U13" s="40" t="s">
        <v>471</v>
      </c>
      <c r="V13" s="40" t="s">
        <v>471</v>
      </c>
      <c r="W13" s="40" t="s">
        <v>471</v>
      </c>
      <c r="X13" s="40" t="s">
        <v>471</v>
      </c>
      <c r="Y13" s="40"/>
    </row>
    <row r="14" spans="1:25" ht="25.5" customHeight="1">
      <c r="A14" s="29">
        <v>10</v>
      </c>
      <c r="B14" s="29" t="s">
        <v>488</v>
      </c>
      <c r="C14" s="29" t="s">
        <v>403</v>
      </c>
      <c r="D14" s="29">
        <f>COUNTIF('Kế hoạch Task'!$B$6:$B$90,A14)</f>
        <v>6</v>
      </c>
      <c r="E14" s="29">
        <f>COUNTIFS('Kế hoạch Task'!$B$6:$B$90,A14,'Kế hoạch Task'!$K$6:$K$90,"Hoàn thành")</f>
        <v>1</v>
      </c>
      <c r="F14" s="29">
        <f>COUNTIFS('Kế hoạch Task'!$B$6:$B$90,A14,'Kế hoạch Task'!$K$6:$K$90,"Đang làm")</f>
        <v>0</v>
      </c>
      <c r="G14" s="29">
        <f>COUNTIFS('Kế hoạch Task'!$B$6:$B$90,A14,'Kế hoạch Task'!$K$6:$K$90,"Rủi ro")</f>
        <v>0</v>
      </c>
      <c r="H14" s="30">
        <f t="shared" si="0"/>
        <v>0.16666666666666666</v>
      </c>
      <c r="I14" s="31">
        <v>46202</v>
      </c>
      <c r="J14" s="31">
        <v>46203</v>
      </c>
      <c r="K14" s="29" t="s">
        <v>489</v>
      </c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 t="s">
        <v>471</v>
      </c>
      <c r="Y14" s="40" t="s">
        <v>471</v>
      </c>
    </row>
    <row r="21" s="35" customFormat="1" ht="15.75" customHeight="1"/>
    <row r="22" s="35" customFormat="1" ht="15.75" customHeight="1"/>
    <row r="23" s="35" customFormat="1" ht="15.75" customHeight="1"/>
    <row r="24" s="35" customFormat="1" ht="15.75" customHeight="1"/>
    <row r="25" s="35" customFormat="1" ht="15.75" customHeight="1"/>
    <row r="26" s="35" customFormat="1" ht="15.75" customHeight="1"/>
    <row r="27" s="35" customFormat="1" ht="15.75" customHeight="1"/>
    <row r="28" s="35" customFormat="1" ht="15.75" customHeight="1"/>
    <row r="29" s="35" customFormat="1" ht="15.75" customHeight="1"/>
    <row r="30" s="35" customFormat="1" ht="15.75" customHeight="1"/>
    <row r="31" s="35" customFormat="1" ht="15.75" customHeight="1"/>
    <row r="32" s="35" customFormat="1" ht="15.75" customHeight="1"/>
    <row r="33" s="35" customFormat="1" ht="15.75" customHeight="1"/>
    <row r="34" s="35" customFormat="1" ht="15.75" customHeight="1"/>
    <row r="35" s="35" customFormat="1" ht="15.75" customHeight="1"/>
    <row r="36" s="35" customFormat="1" ht="15.75" customHeight="1"/>
    <row r="37" s="35" customFormat="1" ht="15.75" customHeight="1"/>
    <row r="38" s="35" customFormat="1" ht="15.75" customHeight="1"/>
    <row r="39" s="35" customFormat="1" ht="15.75" customHeight="1"/>
    <row r="40" s="35" customFormat="1" ht="15.75" customHeight="1"/>
    <row r="41" s="35" customFormat="1" ht="15.75" customHeight="1"/>
    <row r="42" s="35" customFormat="1" ht="15.75" customHeight="1"/>
    <row r="43" s="35" customFormat="1" ht="15.75" customHeight="1"/>
    <row r="44" s="35" customFormat="1" ht="15.75" customHeight="1"/>
    <row r="45" s="35" customFormat="1" ht="15.75" customHeight="1"/>
    <row r="46" s="35" customFormat="1" ht="15.75" customHeight="1"/>
    <row r="47" s="35" customFormat="1" ht="15.75" customHeight="1"/>
    <row r="48" s="35" customFormat="1" ht="15.75" customHeight="1"/>
    <row r="49" s="35" customFormat="1" ht="15.75" customHeight="1"/>
    <row r="50" s="35" customFormat="1" ht="15.75" customHeight="1"/>
    <row r="51" s="35" customFormat="1" ht="15.75" customHeight="1"/>
    <row r="52" s="35" customFormat="1" ht="15.75" customHeight="1"/>
    <row r="53" s="35" customFormat="1" ht="15.75" customHeight="1"/>
    <row r="54" s="35" customFormat="1" ht="15.75" customHeight="1"/>
    <row r="55" s="35" customFormat="1" ht="15.75" customHeight="1"/>
    <row r="56" s="35" customFormat="1" ht="15.75" customHeight="1"/>
    <row r="57" s="35" customFormat="1" ht="15.75" customHeight="1"/>
    <row r="58" s="35" customFormat="1" ht="15.75" customHeight="1"/>
    <row r="59" s="35" customFormat="1" ht="15.75" customHeight="1"/>
    <row r="60" s="35" customFormat="1" ht="15.75" customHeight="1"/>
    <row r="61" s="35" customFormat="1" ht="15.75" customHeight="1"/>
    <row r="62" s="35" customFormat="1" ht="15.75" customHeight="1"/>
    <row r="63" s="35" customFormat="1" ht="15.75" customHeight="1"/>
    <row r="64" s="35" customFormat="1" ht="15.75" customHeight="1"/>
    <row r="65" s="35" customFormat="1" ht="15.75" customHeight="1"/>
    <row r="66" s="35" customFormat="1" ht="15.75" customHeight="1"/>
    <row r="67" s="35" customFormat="1" ht="15.75" customHeight="1"/>
    <row r="68" s="35" customFormat="1" ht="15.75" customHeight="1"/>
    <row r="69" s="35" customFormat="1" ht="15.75" customHeight="1"/>
    <row r="70" s="35" customFormat="1" ht="15.75" customHeight="1"/>
    <row r="71" s="35" customFormat="1" ht="15.75" customHeight="1"/>
    <row r="72" s="35" customFormat="1" ht="15.75" customHeight="1"/>
    <row r="73" s="35" customFormat="1" ht="15.75" customHeight="1"/>
    <row r="74" s="35" customFormat="1" ht="15.75" customHeight="1"/>
    <row r="75" s="35" customFormat="1" ht="15.75" customHeight="1"/>
    <row r="76" s="35" customFormat="1" ht="15.75" customHeight="1"/>
    <row r="77" s="35" customFormat="1" ht="15.75" customHeight="1"/>
    <row r="78" s="35" customFormat="1" ht="15.75" customHeight="1"/>
    <row r="79" s="35" customFormat="1" ht="15.75" customHeight="1"/>
    <row r="80" s="35" customFormat="1" ht="15.75" customHeight="1"/>
    <row r="81" s="35" customFormat="1" ht="15.75" customHeight="1"/>
    <row r="82" s="35" customFormat="1" ht="15.75" customHeight="1"/>
    <row r="83" s="35" customFormat="1" ht="15.75" customHeight="1"/>
    <row r="84" s="35" customFormat="1" ht="15.75" customHeight="1"/>
    <row r="85" s="35" customFormat="1" ht="15.75" customHeight="1"/>
    <row r="86" s="35" customFormat="1" ht="15.75" customHeight="1"/>
    <row r="87" s="35" customFormat="1" ht="15.75" customHeight="1"/>
    <row r="88" s="35" customFormat="1" ht="15.75" customHeight="1"/>
    <row r="89" s="35" customFormat="1" ht="15.75" customHeight="1"/>
    <row r="90" s="35" customFormat="1" ht="15.75" customHeight="1"/>
    <row r="91" s="35" customFormat="1" ht="15.75" customHeight="1"/>
    <row r="92" s="35" customFormat="1" ht="15.75" customHeight="1"/>
    <row r="93" s="35" customFormat="1" ht="15.75" customHeight="1"/>
    <row r="94" s="35" customFormat="1" ht="15.75" customHeight="1"/>
    <row r="95" s="35" customFormat="1" ht="15.75" customHeight="1"/>
    <row r="96" s="35" customFormat="1" ht="15.75" customHeight="1"/>
    <row r="97" s="35" customFormat="1" ht="15.75" customHeight="1"/>
    <row r="98" s="35" customFormat="1" ht="15.75" customHeight="1"/>
    <row r="99" s="35" customFormat="1" ht="15.75" customHeight="1"/>
    <row r="100" s="35" customFormat="1" ht="15.75" customHeight="1"/>
    <row r="101" s="35" customFormat="1" ht="15.75" customHeight="1"/>
    <row r="102" s="35" customFormat="1" ht="15.75" customHeight="1"/>
    <row r="103" s="35" customFormat="1" ht="15.75" customHeight="1"/>
    <row r="104" s="35" customFormat="1" ht="15.75" customHeight="1"/>
    <row r="105" s="35" customFormat="1" ht="15.75" customHeight="1"/>
    <row r="106" s="35" customFormat="1" ht="15.75" customHeight="1"/>
    <row r="107" s="35" customFormat="1" ht="15.75" customHeight="1"/>
    <row r="108" s="35" customFormat="1" ht="15.75" customHeight="1"/>
    <row r="109" s="35" customFormat="1" ht="15.75" customHeight="1"/>
    <row r="110" s="35" customFormat="1" ht="15.75" customHeight="1"/>
    <row r="111" s="35" customFormat="1" ht="15.75" customHeight="1"/>
    <row r="112" s="35" customFormat="1" ht="15.75" customHeight="1"/>
    <row r="113" s="35" customFormat="1" ht="15.75" customHeight="1"/>
    <row r="114" s="35" customFormat="1" ht="15.75" customHeight="1"/>
    <row r="115" s="35" customFormat="1" ht="15.75" customHeight="1"/>
    <row r="116" s="35" customFormat="1" ht="15.75" customHeight="1"/>
    <row r="117" s="35" customFormat="1" ht="15.75" customHeight="1"/>
    <row r="118" s="35" customFormat="1" ht="15.75" customHeight="1"/>
    <row r="119" s="35" customFormat="1" ht="15.75" customHeight="1"/>
    <row r="120" s="35" customFormat="1" ht="15.75" customHeight="1"/>
    <row r="121" s="35" customFormat="1" ht="15.75" customHeight="1"/>
    <row r="122" s="35" customFormat="1" ht="15.75" customHeight="1"/>
    <row r="123" s="35" customFormat="1" ht="15.75" customHeight="1"/>
    <row r="124" s="35" customFormat="1" ht="15.75" customHeight="1"/>
    <row r="125" s="35" customFormat="1" ht="15.75" customHeight="1"/>
    <row r="126" s="35" customFormat="1" ht="15.75" customHeight="1"/>
    <row r="127" s="35" customFormat="1" ht="15.75" customHeight="1"/>
    <row r="128" s="35" customFormat="1" ht="15.75" customHeight="1"/>
    <row r="129" s="35" customFormat="1" ht="15.75" customHeight="1"/>
    <row r="130" s="35" customFormat="1" ht="15.75" customHeight="1"/>
    <row r="131" s="35" customFormat="1" ht="15.75" customHeight="1"/>
    <row r="132" s="35" customFormat="1" ht="15.75" customHeight="1"/>
    <row r="133" s="35" customFormat="1" ht="15.75" customHeight="1"/>
    <row r="134" s="35" customFormat="1" ht="15.75" customHeight="1"/>
    <row r="135" s="35" customFormat="1" ht="15.75" customHeight="1"/>
    <row r="136" s="35" customFormat="1" ht="15.75" customHeight="1"/>
    <row r="137" s="35" customFormat="1" ht="15.75" customHeight="1"/>
    <row r="138" s="35" customFormat="1" ht="15.75" customHeight="1"/>
    <row r="139" s="35" customFormat="1" ht="15.75" customHeight="1"/>
    <row r="140" s="35" customFormat="1" ht="15.75" customHeight="1"/>
    <row r="141" s="35" customFormat="1" ht="15.75" customHeight="1"/>
    <row r="142" s="35" customFormat="1" ht="15.75" customHeight="1"/>
    <row r="143" s="35" customFormat="1" ht="15.75" customHeight="1"/>
    <row r="144" s="35" customFormat="1" ht="15.75" customHeight="1"/>
    <row r="145" s="35" customFormat="1" ht="15.75" customHeight="1"/>
    <row r="146" s="35" customFormat="1" ht="15.75" customHeight="1"/>
    <row r="147" s="35" customFormat="1" ht="15.75" customHeight="1"/>
    <row r="148" s="35" customFormat="1" ht="15.75" customHeight="1"/>
    <row r="149" s="35" customFormat="1" ht="15.75" customHeight="1"/>
    <row r="150" s="35" customFormat="1" ht="15.75" customHeight="1"/>
    <row r="151" s="35" customFormat="1" ht="15.75" customHeight="1"/>
    <row r="152" s="35" customFormat="1" ht="15.75" customHeight="1"/>
    <row r="153" s="35" customFormat="1" ht="15.75" customHeight="1"/>
    <row r="154" s="35" customFormat="1" ht="15.75" customHeight="1"/>
    <row r="155" s="35" customFormat="1" ht="15.75" customHeight="1"/>
    <row r="156" s="35" customFormat="1" ht="15.75" customHeight="1"/>
    <row r="157" s="35" customFormat="1" ht="15.75" customHeight="1"/>
    <row r="158" s="35" customFormat="1" ht="15.75" customHeight="1"/>
    <row r="159" s="35" customFormat="1" ht="15.75" customHeight="1"/>
    <row r="160" s="35" customFormat="1" ht="15.75" customHeight="1"/>
    <row r="161" s="35" customFormat="1" ht="15.75" customHeight="1"/>
    <row r="162" s="35" customFormat="1" ht="15.75" customHeight="1"/>
    <row r="163" s="35" customFormat="1" ht="15.75" customHeight="1"/>
    <row r="164" s="35" customFormat="1" ht="15.75" customHeight="1"/>
    <row r="165" s="35" customFormat="1" ht="15.75" customHeight="1"/>
    <row r="166" s="35" customFormat="1" ht="15.75" customHeight="1"/>
    <row r="167" s="35" customFormat="1" ht="15.75" customHeight="1"/>
    <row r="168" s="35" customFormat="1" ht="15.75" customHeight="1"/>
    <row r="169" s="35" customFormat="1" ht="15.75" customHeight="1"/>
    <row r="170" s="35" customFormat="1" ht="15.75" customHeight="1"/>
    <row r="171" s="35" customFormat="1" ht="15.75" customHeight="1"/>
    <row r="172" s="35" customFormat="1" ht="15.75" customHeight="1"/>
    <row r="173" s="35" customFormat="1" ht="15.75" customHeight="1"/>
    <row r="174" s="35" customFormat="1" ht="15.75" customHeight="1"/>
    <row r="175" s="35" customFormat="1" ht="15.75" customHeight="1"/>
    <row r="176" s="35" customFormat="1" ht="15.75" customHeight="1"/>
    <row r="177" s="35" customFormat="1" ht="15.75" customHeight="1"/>
    <row r="178" s="35" customFormat="1" ht="15.75" customHeight="1"/>
    <row r="179" s="35" customFormat="1" ht="15.75" customHeight="1"/>
    <row r="180" s="35" customFormat="1" ht="15.75" customHeight="1"/>
    <row r="181" s="35" customFormat="1" ht="15.75" customHeight="1"/>
    <row r="182" s="35" customFormat="1" ht="15.75" customHeight="1"/>
    <row r="183" s="35" customFormat="1" ht="15.75" customHeight="1"/>
    <row r="184" s="35" customFormat="1" ht="15.75" customHeight="1"/>
    <row r="185" s="35" customFormat="1" ht="15.75" customHeight="1"/>
    <row r="186" s="35" customFormat="1" ht="15.75" customHeight="1"/>
    <row r="187" s="35" customFormat="1" ht="15.75" customHeight="1"/>
    <row r="188" s="35" customFormat="1" ht="15.75" customHeight="1"/>
    <row r="189" s="35" customFormat="1" ht="15.75" customHeight="1"/>
    <row r="190" s="35" customFormat="1" ht="15.75" customHeight="1"/>
    <row r="191" s="35" customFormat="1" ht="15.75" customHeight="1"/>
    <row r="192" s="35" customFormat="1" ht="15.75" customHeight="1"/>
    <row r="193" s="35" customFormat="1" ht="15.75" customHeight="1"/>
    <row r="194" s="35" customFormat="1" ht="15.75" customHeight="1"/>
    <row r="195" s="35" customFormat="1" ht="15.75" customHeight="1"/>
    <row r="196" s="35" customFormat="1" ht="15.75" customHeight="1"/>
    <row r="197" s="35" customFormat="1" ht="15.75" customHeight="1"/>
    <row r="198" s="35" customFormat="1" ht="15.75" customHeight="1"/>
    <row r="199" s="35" customFormat="1" ht="15.75" customHeight="1"/>
    <row r="200" s="35" customFormat="1" ht="15.75" customHeight="1"/>
    <row r="201" s="35" customFormat="1" ht="15.75" customHeight="1"/>
    <row r="202" s="35" customFormat="1" ht="15.75" customHeight="1"/>
    <row r="203" s="35" customFormat="1" ht="15.75" customHeight="1"/>
    <row r="204" s="35" customFormat="1" ht="15.75" customHeight="1"/>
    <row r="205" s="35" customFormat="1" ht="15.75" customHeight="1"/>
    <row r="206" s="35" customFormat="1" ht="15.75" customHeight="1"/>
    <row r="207" s="35" customFormat="1" ht="15.75" customHeight="1"/>
    <row r="208" s="35" customFormat="1" ht="15.75" customHeight="1"/>
    <row r="209" s="35" customFormat="1" ht="15.75" customHeight="1"/>
    <row r="210" s="35" customFormat="1" ht="15.75" customHeight="1"/>
    <row r="211" s="35" customFormat="1" ht="15.75" customHeight="1"/>
    <row r="212" s="35" customFormat="1" ht="15.75" customHeight="1"/>
    <row r="213" s="35" customFormat="1" ht="15.75" customHeight="1"/>
    <row r="214" s="35" customFormat="1" ht="15.75" customHeight="1"/>
    <row r="215" s="35" customFormat="1" ht="15.75" customHeight="1"/>
    <row r="216" s="35" customFormat="1" ht="15.75" customHeight="1"/>
    <row r="217" s="35" customFormat="1" ht="15.75" customHeight="1"/>
    <row r="218" s="35" customFormat="1" ht="15.75" customHeight="1"/>
    <row r="219" s="35" customFormat="1" ht="15.75" customHeight="1"/>
    <row r="220" s="35" customFormat="1" ht="15.75" customHeight="1"/>
    <row r="221" s="35" customFormat="1" ht="15.75" customHeight="1"/>
    <row r="222" s="35" customFormat="1" ht="15.75" customHeight="1"/>
    <row r="223" s="35" customFormat="1" ht="15.75" customHeight="1"/>
    <row r="224" s="35" customFormat="1" ht="15.75" customHeight="1"/>
    <row r="225" s="35" customFormat="1" ht="15.75" customHeight="1"/>
    <row r="226" s="35" customFormat="1" ht="15.75" customHeight="1"/>
    <row r="227" s="35" customFormat="1" ht="15.75" customHeight="1"/>
    <row r="228" s="35" customFormat="1" ht="15.75" customHeight="1"/>
    <row r="229" s="35" customFormat="1" ht="15.75" customHeight="1"/>
    <row r="230" s="35" customFormat="1" ht="15.75" customHeight="1"/>
    <row r="231" s="35" customFormat="1" ht="15.75" customHeight="1"/>
    <row r="232" s="35" customFormat="1" ht="15.75" customHeight="1"/>
    <row r="233" s="35" customFormat="1" ht="15.75" customHeight="1"/>
    <row r="234" s="35" customFormat="1" ht="15.75" customHeight="1"/>
    <row r="235" s="35" customFormat="1" ht="15.75" customHeight="1"/>
    <row r="236" s="35" customFormat="1" ht="15.75" customHeight="1"/>
    <row r="237" s="35" customFormat="1" ht="15.75" customHeight="1"/>
    <row r="238" s="35" customFormat="1" ht="15.75" customHeight="1"/>
    <row r="239" s="35" customFormat="1" ht="15.75" customHeight="1"/>
    <row r="240" s="35" customFormat="1" ht="15.75" customHeight="1"/>
    <row r="241" s="35" customFormat="1" ht="15.75" customHeight="1"/>
    <row r="242" s="35" customFormat="1" ht="15.75" customHeight="1"/>
    <row r="243" s="35" customFormat="1" ht="15.75" customHeight="1"/>
    <row r="244" s="35" customFormat="1" ht="15.75" customHeight="1"/>
    <row r="245" s="35" customFormat="1" ht="15.75" customHeight="1"/>
    <row r="246" s="35" customFormat="1" ht="15.75" customHeight="1"/>
    <row r="247" s="35" customFormat="1" ht="15.75" customHeight="1"/>
    <row r="248" s="35" customFormat="1" ht="15.75" customHeight="1"/>
    <row r="249" s="35" customFormat="1" ht="15.75" customHeight="1"/>
    <row r="250" s="35" customFormat="1" ht="15.75" customHeight="1"/>
    <row r="251" s="35" customFormat="1" ht="15.75" customHeight="1"/>
    <row r="252" s="35" customFormat="1" ht="15.75" customHeight="1"/>
    <row r="253" s="35" customFormat="1" ht="15.75" customHeight="1"/>
    <row r="254" s="35" customFormat="1" ht="15.75" customHeight="1"/>
    <row r="255" s="35" customFormat="1" ht="15.75" customHeight="1"/>
    <row r="256" s="35" customFormat="1" ht="15.75" customHeight="1"/>
    <row r="257" s="35" customFormat="1" ht="15.75" customHeight="1"/>
    <row r="258" s="35" customFormat="1" ht="15.75" customHeight="1"/>
    <row r="259" s="35" customFormat="1" ht="15.75" customHeight="1"/>
    <row r="260" s="35" customFormat="1" ht="15.75" customHeight="1"/>
    <row r="261" s="35" customFormat="1" ht="15.75" customHeight="1"/>
    <row r="262" s="35" customFormat="1" ht="15.75" customHeight="1"/>
    <row r="263" s="35" customFormat="1" ht="15.75" customHeight="1"/>
    <row r="264" s="35" customFormat="1" ht="15.75" customHeight="1"/>
    <row r="265" s="35" customFormat="1" ht="15.75" customHeight="1"/>
    <row r="266" s="35" customFormat="1" ht="15.75" customHeight="1"/>
    <row r="267" s="35" customFormat="1" ht="15.75" customHeight="1"/>
    <row r="268" s="35" customFormat="1" ht="15.75" customHeight="1"/>
    <row r="269" s="35" customFormat="1" ht="15.75" customHeight="1"/>
    <row r="270" s="35" customFormat="1" ht="15.75" customHeight="1"/>
    <row r="271" s="35" customFormat="1" ht="15.75" customHeight="1"/>
    <row r="272" s="35" customFormat="1" ht="15.75" customHeight="1"/>
    <row r="273" s="35" customFormat="1" ht="15.75" customHeight="1"/>
    <row r="274" s="35" customFormat="1" ht="15.75" customHeight="1"/>
    <row r="275" s="35" customFormat="1" ht="15.75" customHeight="1"/>
    <row r="276" s="35" customFormat="1" ht="15.75" customHeight="1"/>
    <row r="277" s="35" customFormat="1" ht="15.75" customHeight="1"/>
    <row r="278" s="35" customFormat="1" ht="15.75" customHeight="1"/>
    <row r="279" s="35" customFormat="1" ht="15.75" customHeight="1"/>
    <row r="280" s="35" customFormat="1" ht="15.75" customHeight="1"/>
    <row r="281" s="35" customFormat="1" ht="15.75" customHeight="1"/>
    <row r="282" s="35" customFormat="1" ht="15.75" customHeight="1"/>
    <row r="283" s="35" customFormat="1" ht="15.75" customHeight="1"/>
    <row r="284" s="35" customFormat="1" ht="15.75" customHeight="1"/>
    <row r="285" s="35" customFormat="1" ht="15.75" customHeight="1"/>
    <row r="286" s="35" customFormat="1" ht="15.75" customHeight="1"/>
    <row r="287" s="35" customFormat="1" ht="15.75" customHeight="1"/>
    <row r="288" s="35" customFormat="1" ht="15.75" customHeight="1"/>
    <row r="289" s="35" customFormat="1" ht="15.75" customHeight="1"/>
    <row r="290" s="35" customFormat="1" ht="15.75" customHeight="1"/>
    <row r="291" s="35" customFormat="1" ht="15.75" customHeight="1"/>
    <row r="292" s="35" customFormat="1" ht="15.75" customHeight="1"/>
    <row r="293" s="35" customFormat="1" ht="15.75" customHeight="1"/>
    <row r="294" s="35" customFormat="1" ht="15.75" customHeight="1"/>
    <row r="295" s="35" customFormat="1" ht="15.75" customHeight="1"/>
    <row r="296" s="35" customFormat="1" ht="15.75" customHeight="1"/>
    <row r="297" s="35" customFormat="1" ht="15.75" customHeight="1"/>
    <row r="298" s="35" customFormat="1" ht="15.75" customHeight="1"/>
    <row r="299" s="35" customFormat="1" ht="15.75" customHeight="1"/>
    <row r="300" s="35" customFormat="1" ht="15.75" customHeight="1"/>
    <row r="301" s="35" customFormat="1" ht="15.75" customHeight="1"/>
    <row r="302" s="35" customFormat="1" ht="15.75" customHeight="1"/>
    <row r="303" s="35" customFormat="1" ht="15.75" customHeight="1"/>
    <row r="304" s="35" customFormat="1" ht="15.75" customHeight="1"/>
    <row r="305" s="35" customFormat="1" ht="15.75" customHeight="1"/>
    <row r="306" s="35" customFormat="1" ht="15.75" customHeight="1"/>
    <row r="307" s="35" customFormat="1" ht="15.75" customHeight="1"/>
    <row r="308" s="35" customFormat="1" ht="15.75" customHeight="1"/>
    <row r="309" s="35" customFormat="1" ht="15.75" customHeight="1"/>
    <row r="310" s="35" customFormat="1" ht="15.75" customHeight="1"/>
    <row r="311" s="35" customFormat="1" ht="15.75" customHeight="1"/>
    <row r="312" s="35" customFormat="1" ht="15.75" customHeight="1"/>
    <row r="313" s="35" customFormat="1" ht="15.75" customHeight="1"/>
    <row r="314" s="35" customFormat="1" ht="15.75" customHeight="1"/>
    <row r="315" s="35" customFormat="1" ht="15.75" customHeight="1"/>
    <row r="316" s="35" customFormat="1" ht="15.75" customHeight="1"/>
    <row r="317" s="35" customFormat="1" ht="15.75" customHeight="1"/>
    <row r="318" s="35" customFormat="1" ht="15.75" customHeight="1"/>
    <row r="319" s="35" customFormat="1" ht="15.75" customHeight="1"/>
    <row r="320" s="35" customFormat="1" ht="15.75" customHeight="1"/>
    <row r="321" s="35" customFormat="1" ht="15.75" customHeight="1"/>
    <row r="322" s="35" customFormat="1" ht="15.75" customHeight="1"/>
    <row r="323" s="35" customFormat="1" ht="15.75" customHeight="1"/>
    <row r="324" s="35" customFormat="1" ht="15.75" customHeight="1"/>
    <row r="325" s="35" customFormat="1" ht="15.75" customHeight="1"/>
    <row r="326" s="35" customFormat="1" ht="15.75" customHeight="1"/>
    <row r="327" s="35" customFormat="1" ht="15.75" customHeight="1"/>
    <row r="328" s="35" customFormat="1" ht="15.75" customHeight="1"/>
    <row r="329" s="35" customFormat="1" ht="15.75" customHeight="1"/>
    <row r="330" s="35" customFormat="1" ht="15.75" customHeight="1"/>
    <row r="331" s="35" customFormat="1" ht="15.75" customHeight="1"/>
    <row r="332" s="35" customFormat="1" ht="15.75" customHeight="1"/>
    <row r="333" s="35" customFormat="1" ht="15.75" customHeight="1"/>
    <row r="334" s="35" customFormat="1" ht="15.75" customHeight="1"/>
    <row r="335" s="35" customFormat="1" ht="15.75" customHeight="1"/>
    <row r="336" s="35" customFormat="1" ht="15.75" customHeight="1"/>
    <row r="337" s="35" customFormat="1" ht="15.75" customHeight="1"/>
    <row r="338" s="35" customFormat="1" ht="15.75" customHeight="1"/>
    <row r="339" s="35" customFormat="1" ht="15.75" customHeight="1"/>
    <row r="340" s="35" customFormat="1" ht="15.75" customHeight="1"/>
    <row r="341" s="35" customFormat="1" ht="15.75" customHeight="1"/>
    <row r="342" s="35" customFormat="1" ht="15.75" customHeight="1"/>
    <row r="343" s="35" customFormat="1" ht="15.75" customHeight="1"/>
    <row r="344" s="35" customFormat="1" ht="15.75" customHeight="1"/>
    <row r="345" s="35" customFormat="1" ht="15.75" customHeight="1"/>
    <row r="346" s="35" customFormat="1" ht="15.75" customHeight="1"/>
    <row r="347" s="35" customFormat="1" ht="15.75" customHeight="1"/>
    <row r="348" s="35" customFormat="1" ht="15.75" customHeight="1"/>
    <row r="349" s="35" customFormat="1" ht="15.75" customHeight="1"/>
    <row r="350" s="35" customFormat="1" ht="15.75" customHeight="1"/>
    <row r="351" s="35" customFormat="1" ht="15.75" customHeight="1"/>
    <row r="352" s="35" customFormat="1" ht="15.75" customHeight="1"/>
    <row r="353" s="35" customFormat="1" ht="15.75" customHeight="1"/>
    <row r="354" s="35" customFormat="1" ht="15.75" customHeight="1"/>
    <row r="355" s="35" customFormat="1" ht="15.75" customHeight="1"/>
    <row r="356" s="35" customFormat="1" ht="15.75" customHeight="1"/>
    <row r="357" s="35" customFormat="1" ht="15.75" customHeight="1"/>
    <row r="358" s="35" customFormat="1" ht="15.75" customHeight="1"/>
    <row r="359" s="35" customFormat="1" ht="15.75" customHeight="1"/>
    <row r="360" s="35" customFormat="1" ht="15.75" customHeight="1"/>
    <row r="361" s="35" customFormat="1" ht="15.75" customHeight="1"/>
    <row r="362" s="35" customFormat="1" ht="15.75" customHeight="1"/>
    <row r="363" s="35" customFormat="1" ht="15.75" customHeight="1"/>
    <row r="364" s="35" customFormat="1" ht="15.75" customHeight="1"/>
    <row r="365" s="35" customFormat="1" ht="15.75" customHeight="1"/>
    <row r="366" s="35" customFormat="1" ht="15.75" customHeight="1"/>
    <row r="367" s="35" customFormat="1" ht="15.75" customHeight="1"/>
    <row r="368" s="35" customFormat="1" ht="15.75" customHeight="1"/>
    <row r="369" s="35" customFormat="1" ht="15.75" customHeight="1"/>
    <row r="370" s="35" customFormat="1" ht="15.75" customHeight="1"/>
    <row r="371" s="35" customFormat="1" ht="15.75" customHeight="1"/>
    <row r="372" s="35" customFormat="1" ht="15.75" customHeight="1"/>
    <row r="373" s="35" customFormat="1" ht="15.75" customHeight="1"/>
    <row r="374" s="35" customFormat="1" ht="15.75" customHeight="1"/>
    <row r="375" s="35" customFormat="1" ht="15.75" customHeight="1"/>
    <row r="376" s="35" customFormat="1" ht="15.75" customHeight="1"/>
    <row r="377" s="35" customFormat="1" ht="15.75" customHeight="1"/>
    <row r="378" s="35" customFormat="1" ht="15.75" customHeight="1"/>
    <row r="379" s="35" customFormat="1" ht="15.75" customHeight="1"/>
    <row r="380" s="35" customFormat="1" ht="15.75" customHeight="1"/>
    <row r="381" s="35" customFormat="1" ht="15.75" customHeight="1"/>
    <row r="382" s="35" customFormat="1" ht="15.75" customHeight="1"/>
    <row r="383" s="35" customFormat="1" ht="15.75" customHeight="1"/>
    <row r="384" s="35" customFormat="1" ht="15.75" customHeight="1"/>
    <row r="385" s="35" customFormat="1" ht="15.75" customHeight="1"/>
    <row r="386" s="35" customFormat="1" ht="15.75" customHeight="1"/>
    <row r="387" s="35" customFormat="1" ht="15.75" customHeight="1"/>
    <row r="388" s="35" customFormat="1" ht="15.75" customHeight="1"/>
    <row r="389" s="35" customFormat="1" ht="15.75" customHeight="1"/>
    <row r="390" s="35" customFormat="1" ht="15.75" customHeight="1"/>
    <row r="391" s="35" customFormat="1" ht="15.75" customHeight="1"/>
    <row r="392" s="35" customFormat="1" ht="15.75" customHeight="1"/>
    <row r="393" s="35" customFormat="1" ht="15.75" customHeight="1"/>
    <row r="394" s="35" customFormat="1" ht="15.75" customHeight="1"/>
    <row r="395" s="35" customFormat="1" ht="15.75" customHeight="1"/>
    <row r="396" s="35" customFormat="1" ht="15.75" customHeight="1"/>
    <row r="397" s="35" customFormat="1" ht="15.75" customHeight="1"/>
    <row r="398" s="35" customFormat="1" ht="15.75" customHeight="1"/>
    <row r="399" s="35" customFormat="1" ht="15.75" customHeight="1"/>
    <row r="400" s="35" customFormat="1" ht="15.75" customHeight="1"/>
    <row r="401" s="35" customFormat="1" ht="15.75" customHeight="1"/>
    <row r="402" s="35" customFormat="1" ht="15.75" customHeight="1"/>
    <row r="403" s="35" customFormat="1" ht="15.75" customHeight="1"/>
    <row r="404" s="35" customFormat="1" ht="15.75" customHeight="1"/>
    <row r="405" s="35" customFormat="1" ht="15.75" customHeight="1"/>
    <row r="406" s="35" customFormat="1" ht="15.75" customHeight="1"/>
    <row r="407" s="35" customFormat="1" ht="15.75" customHeight="1"/>
    <row r="408" s="35" customFormat="1" ht="15.75" customHeight="1"/>
    <row r="409" s="35" customFormat="1" ht="15.75" customHeight="1"/>
    <row r="410" s="35" customFormat="1" ht="15.75" customHeight="1"/>
    <row r="411" s="35" customFormat="1" ht="15.75" customHeight="1"/>
    <row r="412" s="35" customFormat="1" ht="15.75" customHeight="1"/>
    <row r="413" s="35" customFormat="1" ht="15.75" customHeight="1"/>
    <row r="414" s="35" customFormat="1" ht="15.75" customHeight="1"/>
    <row r="415" s="35" customFormat="1" ht="15.75" customHeight="1"/>
    <row r="416" s="35" customFormat="1" ht="15.75" customHeight="1"/>
    <row r="417" s="35" customFormat="1" ht="15.75" customHeight="1"/>
    <row r="418" s="35" customFormat="1" ht="15.75" customHeight="1"/>
    <row r="419" s="35" customFormat="1" ht="15.75" customHeight="1"/>
    <row r="420" s="35" customFormat="1" ht="15.75" customHeight="1"/>
    <row r="421" s="35" customFormat="1" ht="15.75" customHeight="1"/>
    <row r="422" s="35" customFormat="1" ht="15.75" customHeight="1"/>
    <row r="423" s="35" customFormat="1" ht="15.75" customHeight="1"/>
    <row r="424" s="35" customFormat="1" ht="15.75" customHeight="1"/>
    <row r="425" s="35" customFormat="1" ht="15.75" customHeight="1"/>
    <row r="426" s="35" customFormat="1" ht="15.75" customHeight="1"/>
    <row r="427" s="35" customFormat="1" ht="15.75" customHeight="1"/>
    <row r="428" s="35" customFormat="1" ht="15.75" customHeight="1"/>
    <row r="429" s="35" customFormat="1" ht="15.75" customHeight="1"/>
    <row r="430" s="35" customFormat="1" ht="15.75" customHeight="1"/>
    <row r="431" s="35" customFormat="1" ht="15.75" customHeight="1"/>
    <row r="432" s="35" customFormat="1" ht="15.75" customHeight="1"/>
    <row r="433" s="35" customFormat="1" ht="15.75" customHeight="1"/>
    <row r="434" s="35" customFormat="1" ht="15.75" customHeight="1"/>
    <row r="435" s="35" customFormat="1" ht="15.75" customHeight="1"/>
    <row r="436" s="35" customFormat="1" ht="15.75" customHeight="1"/>
    <row r="437" s="35" customFormat="1" ht="15.75" customHeight="1"/>
    <row r="438" s="35" customFormat="1" ht="15.75" customHeight="1"/>
    <row r="439" s="35" customFormat="1" ht="15.75" customHeight="1"/>
    <row r="440" s="35" customFormat="1" ht="15.75" customHeight="1"/>
    <row r="441" s="35" customFormat="1" ht="15.75" customHeight="1"/>
    <row r="442" s="35" customFormat="1" ht="15.75" customHeight="1"/>
    <row r="443" s="35" customFormat="1" ht="15.75" customHeight="1"/>
    <row r="444" s="35" customFormat="1" ht="15.75" customHeight="1"/>
    <row r="445" s="35" customFormat="1" ht="15.75" customHeight="1"/>
    <row r="446" s="35" customFormat="1" ht="15.75" customHeight="1"/>
    <row r="447" s="35" customFormat="1" ht="15.75" customHeight="1"/>
    <row r="448" s="35" customFormat="1" ht="15.75" customHeight="1"/>
    <row r="449" s="35" customFormat="1" ht="15.75" customHeight="1"/>
    <row r="450" s="35" customFormat="1" ht="15.75" customHeight="1"/>
    <row r="451" s="35" customFormat="1" ht="15.75" customHeight="1"/>
    <row r="452" s="35" customFormat="1" ht="15.75" customHeight="1"/>
    <row r="453" s="35" customFormat="1" ht="15.75" customHeight="1"/>
    <row r="454" s="35" customFormat="1" ht="15.75" customHeight="1"/>
    <row r="455" s="35" customFormat="1" ht="15.75" customHeight="1"/>
    <row r="456" s="35" customFormat="1" ht="15.75" customHeight="1"/>
    <row r="457" s="35" customFormat="1" ht="15.75" customHeight="1"/>
    <row r="458" s="35" customFormat="1" ht="15.75" customHeight="1"/>
    <row r="459" s="35" customFormat="1" ht="15.75" customHeight="1"/>
    <row r="460" s="35" customFormat="1" ht="15.75" customHeight="1"/>
    <row r="461" s="35" customFormat="1" ht="15.75" customHeight="1"/>
    <row r="462" s="35" customFormat="1" ht="15.75" customHeight="1"/>
    <row r="463" s="35" customFormat="1" ht="15.75" customHeight="1"/>
    <row r="464" s="35" customFormat="1" ht="15.75" customHeight="1"/>
    <row r="465" s="35" customFormat="1" ht="15.75" customHeight="1"/>
    <row r="466" s="35" customFormat="1" ht="15.75" customHeight="1"/>
    <row r="467" s="35" customFormat="1" ht="15.75" customHeight="1"/>
    <row r="468" s="35" customFormat="1" ht="15.75" customHeight="1"/>
    <row r="469" s="35" customFormat="1" ht="15.75" customHeight="1"/>
    <row r="470" s="35" customFormat="1" ht="15.75" customHeight="1"/>
    <row r="471" s="35" customFormat="1" ht="15.75" customHeight="1"/>
    <row r="472" s="35" customFormat="1" ht="15.75" customHeight="1"/>
    <row r="473" s="35" customFormat="1" ht="15.75" customHeight="1"/>
    <row r="474" s="35" customFormat="1" ht="15.75" customHeight="1"/>
    <row r="475" s="35" customFormat="1" ht="15.75" customHeight="1"/>
    <row r="476" s="35" customFormat="1" ht="15.75" customHeight="1"/>
    <row r="477" s="35" customFormat="1" ht="15.75" customHeight="1"/>
    <row r="478" s="35" customFormat="1" ht="15.75" customHeight="1"/>
    <row r="479" s="35" customFormat="1" ht="15.75" customHeight="1"/>
    <row r="480" s="35" customFormat="1" ht="15.75" customHeight="1"/>
    <row r="481" s="35" customFormat="1" ht="15.75" customHeight="1"/>
    <row r="482" s="35" customFormat="1" ht="15.75" customHeight="1"/>
    <row r="483" s="35" customFormat="1" ht="15.75" customHeight="1"/>
    <row r="484" s="35" customFormat="1" ht="15.75" customHeight="1"/>
    <row r="485" s="35" customFormat="1" ht="15.75" customHeight="1"/>
    <row r="486" s="35" customFormat="1" ht="15.75" customHeight="1"/>
    <row r="487" s="35" customFormat="1" ht="15.75" customHeight="1"/>
    <row r="488" s="35" customFormat="1" ht="15.75" customHeight="1"/>
    <row r="489" s="35" customFormat="1" ht="15.75" customHeight="1"/>
    <row r="490" s="35" customFormat="1" ht="15.75" customHeight="1"/>
    <row r="491" s="35" customFormat="1" ht="15.75" customHeight="1"/>
    <row r="492" s="35" customFormat="1" ht="15.75" customHeight="1"/>
    <row r="493" s="35" customFormat="1" ht="15.75" customHeight="1"/>
    <row r="494" s="35" customFormat="1" ht="15.75" customHeight="1"/>
    <row r="495" s="35" customFormat="1" ht="15.75" customHeight="1"/>
    <row r="496" s="35" customFormat="1" ht="15.75" customHeight="1"/>
    <row r="497" s="35" customFormat="1" ht="15.75" customHeight="1"/>
    <row r="498" s="35" customFormat="1" ht="15.75" customHeight="1"/>
    <row r="499" s="35" customFormat="1" ht="15.75" customHeight="1"/>
    <row r="500" s="35" customFormat="1" ht="15.75" customHeight="1"/>
    <row r="501" s="35" customFormat="1" ht="15.75" customHeight="1"/>
    <row r="502" s="35" customFormat="1" ht="15.75" customHeight="1"/>
    <row r="503" s="35" customFormat="1" ht="15.75" customHeight="1"/>
    <row r="504" s="35" customFormat="1" ht="15.75" customHeight="1"/>
    <row r="505" s="35" customFormat="1" ht="15.75" customHeight="1"/>
    <row r="506" s="35" customFormat="1" ht="15.75" customHeight="1"/>
    <row r="507" s="35" customFormat="1" ht="15.75" customHeight="1"/>
    <row r="508" s="35" customFormat="1" ht="15.75" customHeight="1"/>
    <row r="509" s="35" customFormat="1" ht="15.75" customHeight="1"/>
    <row r="510" s="35" customFormat="1" ht="15.75" customHeight="1"/>
    <row r="511" s="35" customFormat="1" ht="15.75" customHeight="1"/>
    <row r="512" s="35" customFormat="1" ht="15.75" customHeight="1"/>
    <row r="513" s="35" customFormat="1" ht="15.75" customHeight="1"/>
    <row r="514" s="35" customFormat="1" ht="15.75" customHeight="1"/>
    <row r="515" s="35" customFormat="1" ht="15.75" customHeight="1"/>
    <row r="516" s="35" customFormat="1" ht="15.75" customHeight="1"/>
    <row r="517" s="35" customFormat="1" ht="15.75" customHeight="1"/>
    <row r="518" s="35" customFormat="1" ht="15.75" customHeight="1"/>
    <row r="519" s="35" customFormat="1" ht="15.75" customHeight="1"/>
    <row r="520" s="35" customFormat="1" ht="15.75" customHeight="1"/>
    <row r="521" s="35" customFormat="1" ht="15.75" customHeight="1"/>
    <row r="522" s="35" customFormat="1" ht="15.75" customHeight="1"/>
    <row r="523" s="35" customFormat="1" ht="15.75" customHeight="1"/>
    <row r="524" s="35" customFormat="1" ht="15.75" customHeight="1"/>
    <row r="525" s="35" customFormat="1" ht="15.75" customHeight="1"/>
    <row r="526" s="35" customFormat="1" ht="15.75" customHeight="1"/>
    <row r="527" s="35" customFormat="1" ht="15.75" customHeight="1"/>
    <row r="528" s="35" customFormat="1" ht="15.75" customHeight="1"/>
    <row r="529" s="35" customFormat="1" ht="15.75" customHeight="1"/>
    <row r="530" s="35" customFormat="1" ht="15.75" customHeight="1"/>
    <row r="531" s="35" customFormat="1" ht="15.75" customHeight="1"/>
    <row r="532" s="35" customFormat="1" ht="15.75" customHeight="1"/>
    <row r="533" s="35" customFormat="1" ht="15.75" customHeight="1"/>
    <row r="534" s="35" customFormat="1" ht="15.75" customHeight="1"/>
    <row r="535" s="35" customFormat="1" ht="15.75" customHeight="1"/>
    <row r="536" s="35" customFormat="1" ht="15.75" customHeight="1"/>
    <row r="537" s="35" customFormat="1" ht="15.75" customHeight="1"/>
    <row r="538" s="35" customFormat="1" ht="15.75" customHeight="1"/>
    <row r="539" s="35" customFormat="1" ht="15.75" customHeight="1"/>
    <row r="540" s="35" customFormat="1" ht="15.75" customHeight="1"/>
    <row r="541" s="35" customFormat="1" ht="15.75" customHeight="1"/>
    <row r="542" s="35" customFormat="1" ht="15.75" customHeight="1"/>
    <row r="543" s="35" customFormat="1" ht="15.75" customHeight="1"/>
    <row r="544" s="35" customFormat="1" ht="15.75" customHeight="1"/>
    <row r="545" s="35" customFormat="1" ht="15.75" customHeight="1"/>
    <row r="546" s="35" customFormat="1" ht="15.75" customHeight="1"/>
    <row r="547" s="35" customFormat="1" ht="15.75" customHeight="1"/>
    <row r="548" s="35" customFormat="1" ht="15.75" customHeight="1"/>
    <row r="549" s="35" customFormat="1" ht="15.75" customHeight="1"/>
    <row r="550" s="35" customFormat="1" ht="15.75" customHeight="1"/>
    <row r="551" s="35" customFormat="1" ht="15.75" customHeight="1"/>
    <row r="552" s="35" customFormat="1" ht="15.75" customHeight="1"/>
    <row r="553" s="35" customFormat="1" ht="15.75" customHeight="1"/>
    <row r="554" s="35" customFormat="1" ht="15.75" customHeight="1"/>
    <row r="555" s="35" customFormat="1" ht="15.75" customHeight="1"/>
    <row r="556" s="35" customFormat="1" ht="15.75" customHeight="1"/>
    <row r="557" s="35" customFormat="1" ht="15.75" customHeight="1"/>
    <row r="558" s="35" customFormat="1" ht="15.75" customHeight="1"/>
    <row r="559" s="35" customFormat="1" ht="15.75" customHeight="1"/>
    <row r="560" s="35" customFormat="1" ht="15.75" customHeight="1"/>
    <row r="561" s="35" customFormat="1" ht="15.75" customHeight="1"/>
    <row r="562" s="35" customFormat="1" ht="15.75" customHeight="1"/>
    <row r="563" s="35" customFormat="1" ht="15.75" customHeight="1"/>
    <row r="564" s="35" customFormat="1" ht="15.75" customHeight="1"/>
    <row r="565" s="35" customFormat="1" ht="15.75" customHeight="1"/>
    <row r="566" s="35" customFormat="1" ht="15.75" customHeight="1"/>
    <row r="567" s="35" customFormat="1" ht="15.75" customHeight="1"/>
    <row r="568" s="35" customFormat="1" ht="15.75" customHeight="1"/>
    <row r="569" s="35" customFormat="1" ht="15.75" customHeight="1"/>
    <row r="570" s="35" customFormat="1" ht="15.75" customHeight="1"/>
    <row r="571" s="35" customFormat="1" ht="15.75" customHeight="1"/>
    <row r="572" s="35" customFormat="1" ht="15.75" customHeight="1"/>
    <row r="573" s="35" customFormat="1" ht="15.75" customHeight="1"/>
    <row r="574" s="35" customFormat="1" ht="15.75" customHeight="1"/>
    <row r="575" s="35" customFormat="1" ht="15.75" customHeight="1"/>
    <row r="576" s="35" customFormat="1" ht="15.75" customHeight="1"/>
    <row r="577" s="35" customFormat="1" ht="15.75" customHeight="1"/>
    <row r="578" s="35" customFormat="1" ht="15.75" customHeight="1"/>
    <row r="579" s="35" customFormat="1" ht="15.75" customHeight="1"/>
    <row r="580" s="35" customFormat="1" ht="15.75" customHeight="1"/>
    <row r="581" s="35" customFormat="1" ht="15.75" customHeight="1"/>
    <row r="582" s="35" customFormat="1" ht="15.75" customHeight="1"/>
    <row r="583" s="35" customFormat="1" ht="15.75" customHeight="1"/>
    <row r="584" s="35" customFormat="1" ht="15.75" customHeight="1"/>
    <row r="585" s="35" customFormat="1" ht="15.75" customHeight="1"/>
    <row r="586" s="35" customFormat="1" ht="15.75" customHeight="1"/>
    <row r="587" s="35" customFormat="1" ht="15.75" customHeight="1"/>
    <row r="588" s="35" customFormat="1" ht="15.75" customHeight="1"/>
    <row r="589" s="35" customFormat="1" ht="15.75" customHeight="1"/>
    <row r="590" s="35" customFormat="1" ht="15.75" customHeight="1"/>
    <row r="591" s="35" customFormat="1" ht="15.75" customHeight="1"/>
    <row r="592" s="35" customFormat="1" ht="15.75" customHeight="1"/>
    <row r="593" s="35" customFormat="1" ht="15.75" customHeight="1"/>
    <row r="594" s="35" customFormat="1" ht="15.75" customHeight="1"/>
    <row r="595" s="35" customFormat="1" ht="15.75" customHeight="1"/>
    <row r="596" s="35" customFormat="1" ht="15.75" customHeight="1"/>
    <row r="597" s="35" customFormat="1" ht="15.75" customHeight="1"/>
    <row r="598" s="35" customFormat="1" ht="15.75" customHeight="1"/>
    <row r="599" s="35" customFormat="1" ht="15.75" customHeight="1"/>
    <row r="600" s="35" customFormat="1" ht="15.75" customHeight="1"/>
    <row r="601" s="35" customFormat="1" ht="15.75" customHeight="1"/>
    <row r="602" s="35" customFormat="1" ht="15.75" customHeight="1"/>
    <row r="603" s="35" customFormat="1" ht="15.75" customHeight="1"/>
    <row r="604" s="35" customFormat="1" ht="15.75" customHeight="1"/>
    <row r="605" s="35" customFormat="1" ht="15.75" customHeight="1"/>
    <row r="606" s="35" customFormat="1" ht="15.75" customHeight="1"/>
    <row r="607" s="35" customFormat="1" ht="15.75" customHeight="1"/>
    <row r="608" s="35" customFormat="1" ht="15.75" customHeight="1"/>
    <row r="609" s="35" customFormat="1" ht="15.75" customHeight="1"/>
    <row r="610" s="35" customFormat="1" ht="15.75" customHeight="1"/>
    <row r="611" s="35" customFormat="1" ht="15.75" customHeight="1"/>
    <row r="612" s="35" customFormat="1" ht="15.75" customHeight="1"/>
    <row r="613" s="35" customFormat="1" ht="15.75" customHeight="1"/>
    <row r="614" s="35" customFormat="1" ht="15.75" customHeight="1"/>
    <row r="615" s="35" customFormat="1" ht="15.75" customHeight="1"/>
    <row r="616" s="35" customFormat="1" ht="15.75" customHeight="1"/>
    <row r="617" s="35" customFormat="1" ht="15.75" customHeight="1"/>
    <row r="618" s="35" customFormat="1" ht="15.75" customHeight="1"/>
    <row r="619" s="35" customFormat="1" ht="15.75" customHeight="1"/>
    <row r="620" s="35" customFormat="1" ht="15.75" customHeight="1"/>
    <row r="621" s="35" customFormat="1" ht="15.75" customHeight="1"/>
    <row r="622" s="35" customFormat="1" ht="15.75" customHeight="1"/>
    <row r="623" s="35" customFormat="1" ht="15.75" customHeight="1"/>
    <row r="624" s="35" customFormat="1" ht="15.75" customHeight="1"/>
    <row r="625" s="35" customFormat="1" ht="15.75" customHeight="1"/>
    <row r="626" s="35" customFormat="1" ht="15.75" customHeight="1"/>
    <row r="627" s="35" customFormat="1" ht="15.75" customHeight="1"/>
    <row r="628" s="35" customFormat="1" ht="15.75" customHeight="1"/>
    <row r="629" s="35" customFormat="1" ht="15.75" customHeight="1"/>
    <row r="630" s="35" customFormat="1" ht="15.75" customHeight="1"/>
    <row r="631" s="35" customFormat="1" ht="15.75" customHeight="1"/>
    <row r="632" s="35" customFormat="1" ht="15.75" customHeight="1"/>
    <row r="633" s="35" customFormat="1" ht="15.75" customHeight="1"/>
    <row r="634" s="35" customFormat="1" ht="15.75" customHeight="1"/>
    <row r="635" s="35" customFormat="1" ht="15.75" customHeight="1"/>
    <row r="636" s="35" customFormat="1" ht="15.75" customHeight="1"/>
    <row r="637" s="35" customFormat="1" ht="15.75" customHeight="1"/>
    <row r="638" s="35" customFormat="1" ht="15.75" customHeight="1"/>
    <row r="639" s="35" customFormat="1" ht="15.75" customHeight="1"/>
    <row r="640" s="35" customFormat="1" ht="15.75" customHeight="1"/>
    <row r="641" s="35" customFormat="1" ht="15.75" customHeight="1"/>
    <row r="642" s="35" customFormat="1" ht="15.75" customHeight="1"/>
    <row r="643" s="35" customFormat="1" ht="15.75" customHeight="1"/>
    <row r="644" s="35" customFormat="1" ht="15.75" customHeight="1"/>
    <row r="645" s="35" customFormat="1" ht="15.75" customHeight="1"/>
    <row r="646" s="35" customFormat="1" ht="15.75" customHeight="1"/>
    <row r="647" s="35" customFormat="1" ht="15.75" customHeight="1"/>
    <row r="648" s="35" customFormat="1" ht="15.75" customHeight="1"/>
    <row r="649" s="35" customFormat="1" ht="15.75" customHeight="1"/>
    <row r="650" s="35" customFormat="1" ht="15.75" customHeight="1"/>
    <row r="651" s="35" customFormat="1" ht="15.75" customHeight="1"/>
    <row r="652" s="35" customFormat="1" ht="15.75" customHeight="1"/>
    <row r="653" s="35" customFormat="1" ht="15.75" customHeight="1"/>
    <row r="654" s="35" customFormat="1" ht="15.75" customHeight="1"/>
    <row r="655" s="35" customFormat="1" ht="15.75" customHeight="1"/>
    <row r="656" s="35" customFormat="1" ht="15.75" customHeight="1"/>
    <row r="657" s="35" customFormat="1" ht="15.75" customHeight="1"/>
    <row r="658" s="35" customFormat="1" ht="15.75" customHeight="1"/>
    <row r="659" s="35" customFormat="1" ht="15.75" customHeight="1"/>
    <row r="660" s="35" customFormat="1" ht="15.75" customHeight="1"/>
    <row r="661" s="35" customFormat="1" ht="15.75" customHeight="1"/>
    <row r="662" s="35" customFormat="1" ht="15.75" customHeight="1"/>
    <row r="663" s="35" customFormat="1" ht="15.75" customHeight="1"/>
    <row r="664" s="35" customFormat="1" ht="15.75" customHeight="1"/>
    <row r="665" s="35" customFormat="1" ht="15.75" customHeight="1"/>
    <row r="666" s="35" customFormat="1" ht="15.75" customHeight="1"/>
    <row r="667" s="35" customFormat="1" ht="15.75" customHeight="1"/>
    <row r="668" s="35" customFormat="1" ht="15.75" customHeight="1"/>
    <row r="669" s="35" customFormat="1" ht="15.75" customHeight="1"/>
    <row r="670" s="35" customFormat="1" ht="15.75" customHeight="1"/>
    <row r="671" s="35" customFormat="1" ht="15.75" customHeight="1"/>
    <row r="672" s="35" customFormat="1" ht="15.75" customHeight="1"/>
    <row r="673" s="35" customFormat="1" ht="15.75" customHeight="1"/>
    <row r="674" s="35" customFormat="1" ht="15.75" customHeight="1"/>
    <row r="675" s="35" customFormat="1" ht="15.75" customHeight="1"/>
    <row r="676" s="35" customFormat="1" ht="15.75" customHeight="1"/>
    <row r="677" s="35" customFormat="1" ht="15.75" customHeight="1"/>
    <row r="678" s="35" customFormat="1" ht="15.75" customHeight="1"/>
    <row r="679" s="35" customFormat="1" ht="15.75" customHeight="1"/>
    <row r="680" s="35" customFormat="1" ht="15.75" customHeight="1"/>
    <row r="681" s="35" customFormat="1" ht="15.75" customHeight="1"/>
    <row r="682" s="35" customFormat="1" ht="15.75" customHeight="1"/>
    <row r="683" s="35" customFormat="1" ht="15.75" customHeight="1"/>
    <row r="684" s="35" customFormat="1" ht="15.75" customHeight="1"/>
    <row r="685" s="35" customFormat="1" ht="15.75" customHeight="1"/>
    <row r="686" s="35" customFormat="1" ht="15.75" customHeight="1"/>
    <row r="687" s="35" customFormat="1" ht="15.75" customHeight="1"/>
    <row r="688" s="35" customFormat="1" ht="15.75" customHeight="1"/>
    <row r="689" s="35" customFormat="1" ht="15.75" customHeight="1"/>
    <row r="690" s="35" customFormat="1" ht="15.75" customHeight="1"/>
    <row r="691" s="35" customFormat="1" ht="15.75" customHeight="1"/>
    <row r="692" s="35" customFormat="1" ht="15.75" customHeight="1"/>
    <row r="693" s="35" customFormat="1" ht="15.75" customHeight="1"/>
    <row r="694" s="35" customFormat="1" ht="15.75" customHeight="1"/>
    <row r="695" s="35" customFormat="1" ht="15.75" customHeight="1"/>
    <row r="696" s="35" customFormat="1" ht="15.75" customHeight="1"/>
    <row r="697" s="35" customFormat="1" ht="15.75" customHeight="1"/>
    <row r="698" s="35" customFormat="1" ht="15.75" customHeight="1"/>
    <row r="699" s="35" customFormat="1" ht="15.75" customHeight="1"/>
    <row r="700" s="35" customFormat="1" ht="15.75" customHeight="1"/>
    <row r="701" s="35" customFormat="1" ht="15.75" customHeight="1"/>
    <row r="702" s="35" customFormat="1" ht="15.75" customHeight="1"/>
    <row r="703" s="35" customFormat="1" ht="15.75" customHeight="1"/>
    <row r="704" s="35" customFormat="1" ht="15.75" customHeight="1"/>
    <row r="705" s="35" customFormat="1" ht="15.75" customHeight="1"/>
    <row r="706" s="35" customFormat="1" ht="15.75" customHeight="1"/>
    <row r="707" s="35" customFormat="1" ht="15.75" customHeight="1"/>
    <row r="708" s="35" customFormat="1" ht="15.75" customHeight="1"/>
    <row r="709" s="35" customFormat="1" ht="15.75" customHeight="1"/>
    <row r="710" s="35" customFormat="1" ht="15.75" customHeight="1"/>
    <row r="711" s="35" customFormat="1" ht="15.75" customHeight="1"/>
    <row r="712" s="35" customFormat="1" ht="15.75" customHeight="1"/>
    <row r="713" s="35" customFormat="1" ht="15.75" customHeight="1"/>
    <row r="714" s="35" customFormat="1" ht="15.75" customHeight="1"/>
    <row r="715" s="35" customFormat="1" ht="15.75" customHeight="1"/>
    <row r="716" s="35" customFormat="1" ht="15.75" customHeight="1"/>
    <row r="717" s="35" customFormat="1" ht="15.75" customHeight="1"/>
    <row r="718" s="35" customFormat="1" ht="15.75" customHeight="1"/>
    <row r="719" s="35" customFormat="1" ht="15.75" customHeight="1"/>
    <row r="720" s="35" customFormat="1" ht="15.75" customHeight="1"/>
    <row r="721" s="35" customFormat="1" ht="15.75" customHeight="1"/>
    <row r="722" s="35" customFormat="1" ht="15.75" customHeight="1"/>
    <row r="723" s="35" customFormat="1" ht="15.75" customHeight="1"/>
    <row r="724" s="35" customFormat="1" ht="15.75" customHeight="1"/>
    <row r="725" s="35" customFormat="1" ht="15.75" customHeight="1"/>
    <row r="726" s="35" customFormat="1" ht="15.75" customHeight="1"/>
    <row r="727" s="35" customFormat="1" ht="15.75" customHeight="1"/>
    <row r="728" s="35" customFormat="1" ht="15.75" customHeight="1"/>
    <row r="729" s="35" customFormat="1" ht="15.75" customHeight="1"/>
    <row r="730" s="35" customFormat="1" ht="15.75" customHeight="1"/>
    <row r="731" s="35" customFormat="1" ht="15.75" customHeight="1"/>
    <row r="732" s="35" customFormat="1" ht="15.75" customHeight="1"/>
    <row r="733" s="35" customFormat="1" ht="15.75" customHeight="1"/>
    <row r="734" s="35" customFormat="1" ht="15.75" customHeight="1"/>
    <row r="735" s="35" customFormat="1" ht="15.75" customHeight="1"/>
    <row r="736" s="35" customFormat="1" ht="15.75" customHeight="1"/>
    <row r="737" s="35" customFormat="1" ht="15.75" customHeight="1"/>
    <row r="738" s="35" customFormat="1" ht="15.75" customHeight="1"/>
    <row r="739" s="35" customFormat="1" ht="15.75" customHeight="1"/>
    <row r="740" s="35" customFormat="1" ht="15.75" customHeight="1"/>
    <row r="741" s="35" customFormat="1" ht="15.75" customHeight="1"/>
    <row r="742" s="35" customFormat="1" ht="15.75" customHeight="1"/>
    <row r="743" s="35" customFormat="1" ht="15.75" customHeight="1"/>
    <row r="744" s="35" customFormat="1" ht="15.75" customHeight="1"/>
    <row r="745" s="35" customFormat="1" ht="15.75" customHeight="1"/>
    <row r="746" s="35" customFormat="1" ht="15.75" customHeight="1"/>
    <row r="747" s="35" customFormat="1" ht="15.75" customHeight="1"/>
    <row r="748" s="35" customFormat="1" ht="15.75" customHeight="1"/>
    <row r="749" s="35" customFormat="1" ht="15.75" customHeight="1"/>
    <row r="750" s="35" customFormat="1" ht="15.75" customHeight="1"/>
    <row r="751" s="35" customFormat="1" ht="15.75" customHeight="1"/>
    <row r="752" s="35" customFormat="1" ht="15.75" customHeight="1"/>
    <row r="753" s="35" customFormat="1" ht="15.75" customHeight="1"/>
    <row r="754" s="35" customFormat="1" ht="15.75" customHeight="1"/>
    <row r="755" s="35" customFormat="1" ht="15.75" customHeight="1"/>
    <row r="756" s="35" customFormat="1" ht="15.75" customHeight="1"/>
    <row r="757" s="35" customFormat="1" ht="15.75" customHeight="1"/>
    <row r="758" s="35" customFormat="1" ht="15.75" customHeight="1"/>
    <row r="759" s="35" customFormat="1" ht="15.75" customHeight="1"/>
    <row r="760" s="35" customFormat="1" ht="15.75" customHeight="1"/>
    <row r="761" s="35" customFormat="1" ht="15.75" customHeight="1"/>
    <row r="762" s="35" customFormat="1" ht="15.75" customHeight="1"/>
    <row r="763" s="35" customFormat="1" ht="15.75" customHeight="1"/>
    <row r="764" s="35" customFormat="1" ht="15.75" customHeight="1"/>
    <row r="765" s="35" customFormat="1" ht="15.75" customHeight="1"/>
    <row r="766" s="35" customFormat="1" ht="15.75" customHeight="1"/>
    <row r="767" s="35" customFormat="1" ht="15.75" customHeight="1"/>
    <row r="768" s="35" customFormat="1" ht="15.75" customHeight="1"/>
    <row r="769" s="35" customFormat="1" ht="15.75" customHeight="1"/>
    <row r="770" s="35" customFormat="1" ht="15.75" customHeight="1"/>
    <row r="771" s="35" customFormat="1" ht="15.75" customHeight="1"/>
    <row r="772" s="35" customFormat="1" ht="15.75" customHeight="1"/>
    <row r="773" s="35" customFormat="1" ht="15.75" customHeight="1"/>
    <row r="774" s="35" customFormat="1" ht="15.75" customHeight="1"/>
    <row r="775" s="35" customFormat="1" ht="15.75" customHeight="1"/>
    <row r="776" s="35" customFormat="1" ht="15.75" customHeight="1"/>
    <row r="777" s="35" customFormat="1" ht="15.75" customHeight="1"/>
    <row r="778" s="35" customFormat="1" ht="15.75" customHeight="1"/>
    <row r="779" s="35" customFormat="1" ht="15.75" customHeight="1"/>
    <row r="780" s="35" customFormat="1" ht="15.75" customHeight="1"/>
    <row r="781" s="35" customFormat="1" ht="15.75" customHeight="1"/>
    <row r="782" s="35" customFormat="1" ht="15.75" customHeight="1"/>
    <row r="783" s="35" customFormat="1" ht="15.75" customHeight="1"/>
    <row r="784" s="35" customFormat="1" ht="15.75" customHeight="1"/>
    <row r="785" s="35" customFormat="1" ht="15.75" customHeight="1"/>
    <row r="786" s="35" customFormat="1" ht="15.75" customHeight="1"/>
    <row r="787" s="35" customFormat="1" ht="15.75" customHeight="1"/>
    <row r="788" s="35" customFormat="1" ht="15.75" customHeight="1"/>
    <row r="789" s="35" customFormat="1" ht="15.75" customHeight="1"/>
    <row r="790" s="35" customFormat="1" ht="15.75" customHeight="1"/>
    <row r="791" s="35" customFormat="1" ht="15.75" customHeight="1"/>
    <row r="792" s="35" customFormat="1" ht="15.75" customHeight="1"/>
    <row r="793" s="35" customFormat="1" ht="15.75" customHeight="1"/>
    <row r="794" s="35" customFormat="1" ht="15.75" customHeight="1"/>
    <row r="795" s="35" customFormat="1" ht="15.75" customHeight="1"/>
    <row r="796" s="35" customFormat="1" ht="15.75" customHeight="1"/>
    <row r="797" s="35" customFormat="1" ht="15.75" customHeight="1"/>
    <row r="798" s="35" customFormat="1" ht="15.75" customHeight="1"/>
    <row r="799" s="35" customFormat="1" ht="15.75" customHeight="1"/>
    <row r="800" s="35" customFormat="1" ht="15.75" customHeight="1"/>
    <row r="801" s="35" customFormat="1" ht="15.75" customHeight="1"/>
    <row r="802" s="35" customFormat="1" ht="15.75" customHeight="1"/>
    <row r="803" s="35" customFormat="1" ht="15.75" customHeight="1"/>
    <row r="804" s="35" customFormat="1" ht="15.75" customHeight="1"/>
    <row r="805" s="35" customFormat="1" ht="15.75" customHeight="1"/>
    <row r="806" s="35" customFormat="1" ht="15.75" customHeight="1"/>
    <row r="807" s="35" customFormat="1" ht="15.75" customHeight="1"/>
    <row r="808" s="35" customFormat="1" ht="15.75" customHeight="1"/>
    <row r="809" s="35" customFormat="1" ht="15.75" customHeight="1"/>
    <row r="810" s="35" customFormat="1" ht="15.75" customHeight="1"/>
    <row r="811" s="35" customFormat="1" ht="15.75" customHeight="1"/>
    <row r="812" s="35" customFormat="1" ht="15.75" customHeight="1"/>
    <row r="813" s="35" customFormat="1" ht="15.75" customHeight="1"/>
    <row r="814" s="35" customFormat="1" ht="15.75" customHeight="1"/>
    <row r="815" s="35" customFormat="1" ht="15.75" customHeight="1"/>
    <row r="816" s="35" customFormat="1" ht="15.75" customHeight="1"/>
    <row r="817" s="35" customFormat="1" ht="15.75" customHeight="1"/>
    <row r="818" s="35" customFormat="1" ht="15.75" customHeight="1"/>
    <row r="819" s="35" customFormat="1" ht="15.75" customHeight="1"/>
    <row r="820" s="35" customFormat="1" ht="15.75" customHeight="1"/>
    <row r="821" s="35" customFormat="1" ht="15.75" customHeight="1"/>
    <row r="822" s="35" customFormat="1" ht="15.75" customHeight="1"/>
    <row r="823" s="35" customFormat="1" ht="15.75" customHeight="1"/>
    <row r="824" s="35" customFormat="1" ht="15.75" customHeight="1"/>
    <row r="825" s="35" customFormat="1" ht="15.75" customHeight="1"/>
    <row r="826" s="35" customFormat="1" ht="15.75" customHeight="1"/>
    <row r="827" s="35" customFormat="1" ht="15.75" customHeight="1"/>
    <row r="828" s="35" customFormat="1" ht="15.75" customHeight="1"/>
    <row r="829" s="35" customFormat="1" ht="15.75" customHeight="1"/>
    <row r="830" s="35" customFormat="1" ht="15.75" customHeight="1"/>
    <row r="831" s="35" customFormat="1" ht="15.75" customHeight="1"/>
    <row r="832" s="35" customFormat="1" ht="15.75" customHeight="1"/>
    <row r="833" s="35" customFormat="1" ht="15.75" customHeight="1"/>
    <row r="834" s="35" customFormat="1" ht="15.75" customHeight="1"/>
    <row r="835" s="35" customFormat="1" ht="15.75" customHeight="1"/>
    <row r="836" s="35" customFormat="1" ht="15.75" customHeight="1"/>
    <row r="837" s="35" customFormat="1" ht="15.75" customHeight="1"/>
    <row r="838" s="35" customFormat="1" ht="15.75" customHeight="1"/>
    <row r="839" s="35" customFormat="1" ht="15.75" customHeight="1"/>
    <row r="840" s="35" customFormat="1" ht="15.75" customHeight="1"/>
    <row r="841" s="35" customFormat="1" ht="15.75" customHeight="1"/>
    <row r="842" s="35" customFormat="1" ht="15.75" customHeight="1"/>
    <row r="843" s="35" customFormat="1" ht="15.75" customHeight="1"/>
    <row r="844" s="35" customFormat="1" ht="15.75" customHeight="1"/>
    <row r="845" s="35" customFormat="1" ht="15.75" customHeight="1"/>
    <row r="846" s="35" customFormat="1" ht="15.75" customHeight="1"/>
    <row r="847" s="35" customFormat="1" ht="15.75" customHeight="1"/>
    <row r="848" s="35" customFormat="1" ht="15.75" customHeight="1"/>
    <row r="849" s="35" customFormat="1" ht="15.75" customHeight="1"/>
    <row r="850" s="35" customFormat="1" ht="15.75" customHeight="1"/>
    <row r="851" s="35" customFormat="1" ht="15.75" customHeight="1"/>
    <row r="852" s="35" customFormat="1" ht="15.75" customHeight="1"/>
    <row r="853" s="35" customFormat="1" ht="15.75" customHeight="1"/>
    <row r="854" s="35" customFormat="1" ht="15.75" customHeight="1"/>
    <row r="855" s="35" customFormat="1" ht="15.75" customHeight="1"/>
    <row r="856" s="35" customFormat="1" ht="15.75" customHeight="1"/>
    <row r="857" s="35" customFormat="1" ht="15.75" customHeight="1"/>
    <row r="858" s="35" customFormat="1" ht="15.75" customHeight="1"/>
    <row r="859" s="35" customFormat="1" ht="15.75" customHeight="1"/>
    <row r="860" s="35" customFormat="1" ht="15.75" customHeight="1"/>
    <row r="861" s="35" customFormat="1" ht="15.75" customHeight="1"/>
    <row r="862" s="35" customFormat="1" ht="15.75" customHeight="1"/>
    <row r="863" s="35" customFormat="1" ht="15.75" customHeight="1"/>
    <row r="864" s="35" customFormat="1" ht="15.75" customHeight="1"/>
    <row r="865" s="35" customFormat="1" ht="15.75" customHeight="1"/>
    <row r="866" s="35" customFormat="1" ht="15.75" customHeight="1"/>
    <row r="867" s="35" customFormat="1" ht="15.75" customHeight="1"/>
    <row r="868" s="35" customFormat="1" ht="15.75" customHeight="1"/>
    <row r="869" s="35" customFormat="1" ht="15.75" customHeight="1"/>
    <row r="870" s="35" customFormat="1" ht="15.75" customHeight="1"/>
    <row r="871" s="35" customFormat="1" ht="15.75" customHeight="1"/>
    <row r="872" s="35" customFormat="1" ht="15.75" customHeight="1"/>
    <row r="873" s="35" customFormat="1" ht="15.75" customHeight="1"/>
    <row r="874" s="35" customFormat="1" ht="15.75" customHeight="1"/>
    <row r="875" s="35" customFormat="1" ht="15.75" customHeight="1"/>
    <row r="876" s="35" customFormat="1" ht="15.75" customHeight="1"/>
    <row r="877" s="35" customFormat="1" ht="15.75" customHeight="1"/>
    <row r="878" s="35" customFormat="1" ht="15.75" customHeight="1"/>
    <row r="879" s="35" customFormat="1" ht="15.75" customHeight="1"/>
    <row r="880" s="35" customFormat="1" ht="15.75" customHeight="1"/>
    <row r="881" s="35" customFormat="1" ht="15.75" customHeight="1"/>
    <row r="882" s="35" customFormat="1" ht="15.75" customHeight="1"/>
    <row r="883" s="35" customFormat="1" ht="15.75" customHeight="1"/>
    <row r="884" s="35" customFormat="1" ht="15.75" customHeight="1"/>
    <row r="885" s="35" customFormat="1" ht="15.75" customHeight="1"/>
    <row r="886" s="35" customFormat="1" ht="15.75" customHeight="1"/>
    <row r="887" s="35" customFormat="1" ht="15.75" customHeight="1"/>
    <row r="888" s="35" customFormat="1" ht="15.75" customHeight="1"/>
    <row r="889" s="35" customFormat="1" ht="15.75" customHeight="1"/>
    <row r="890" s="35" customFormat="1" ht="15.75" customHeight="1"/>
    <row r="891" s="35" customFormat="1" ht="15.75" customHeight="1"/>
    <row r="892" s="35" customFormat="1" ht="15.75" customHeight="1"/>
    <row r="893" s="35" customFormat="1" ht="15.75" customHeight="1"/>
    <row r="894" s="35" customFormat="1" ht="15.75" customHeight="1"/>
    <row r="895" s="35" customFormat="1" ht="15.75" customHeight="1"/>
    <row r="896" s="35" customFormat="1" ht="15.75" customHeight="1"/>
    <row r="897" s="35" customFormat="1" ht="15.75" customHeight="1"/>
    <row r="898" s="35" customFormat="1" ht="15.75" customHeight="1"/>
    <row r="899" s="35" customFormat="1" ht="15.75" customHeight="1"/>
    <row r="900" s="35" customFormat="1" ht="15.75" customHeight="1"/>
    <row r="901" s="35" customFormat="1" ht="15.75" customHeight="1"/>
    <row r="902" s="35" customFormat="1" ht="15.75" customHeight="1"/>
    <row r="903" s="35" customFormat="1" ht="15.75" customHeight="1"/>
    <row r="904" s="35" customFormat="1" ht="15.75" customHeight="1"/>
    <row r="905" s="35" customFormat="1" ht="15.75" customHeight="1"/>
    <row r="906" s="35" customFormat="1" ht="15.75" customHeight="1"/>
    <row r="907" s="35" customFormat="1" ht="15.75" customHeight="1"/>
    <row r="908" s="35" customFormat="1" ht="15.75" customHeight="1"/>
    <row r="909" s="35" customFormat="1" ht="15.75" customHeight="1"/>
    <row r="910" s="35" customFormat="1" ht="15.75" customHeight="1"/>
    <row r="911" s="35" customFormat="1" ht="15.75" customHeight="1"/>
    <row r="912" s="35" customFormat="1" ht="15.75" customHeight="1"/>
    <row r="913" s="35" customFormat="1" ht="15.75" customHeight="1"/>
    <row r="914" s="35" customFormat="1" ht="15.75" customHeight="1"/>
    <row r="915" s="35" customFormat="1" ht="15.75" customHeight="1"/>
    <row r="916" s="35" customFormat="1" ht="15.75" customHeight="1"/>
    <row r="917" s="35" customFormat="1" ht="15.75" customHeight="1"/>
    <row r="918" s="35" customFormat="1" ht="15.75" customHeight="1"/>
    <row r="919" s="35" customFormat="1" ht="15.75" customHeight="1"/>
    <row r="920" s="35" customFormat="1" ht="15.75" customHeight="1"/>
    <row r="921" s="35" customFormat="1" ht="15.75" customHeight="1"/>
    <row r="922" s="35" customFormat="1" ht="15.75" customHeight="1"/>
    <row r="923" s="35" customFormat="1" ht="15.75" customHeight="1"/>
    <row r="924" s="35" customFormat="1" ht="15.75" customHeight="1"/>
    <row r="925" s="35" customFormat="1" ht="15.75" customHeight="1"/>
    <row r="926" s="35" customFormat="1" ht="15.75" customHeight="1"/>
    <row r="927" s="35" customFormat="1" ht="15.75" customHeight="1"/>
    <row r="928" s="35" customFormat="1" ht="15.75" customHeight="1"/>
    <row r="929" s="35" customFormat="1" ht="15.75" customHeight="1"/>
    <row r="930" s="35" customFormat="1" ht="15.75" customHeight="1"/>
    <row r="931" s="35" customFormat="1" ht="15.75" customHeight="1"/>
    <row r="932" s="35" customFormat="1" ht="15.75" customHeight="1"/>
    <row r="933" s="35" customFormat="1" ht="15.75" customHeight="1"/>
    <row r="934" s="35" customFormat="1" ht="15.75" customHeight="1"/>
    <row r="935" s="35" customFormat="1" ht="15.75" customHeight="1"/>
    <row r="936" s="35" customFormat="1" ht="15.75" customHeight="1"/>
    <row r="937" s="35" customFormat="1" ht="15.75" customHeight="1"/>
    <row r="938" s="35" customFormat="1" ht="15.75" customHeight="1"/>
    <row r="939" s="35" customFormat="1" ht="15.75" customHeight="1"/>
    <row r="940" s="35" customFormat="1" ht="15.75" customHeight="1"/>
    <row r="941" s="35" customFormat="1" ht="15.75" customHeight="1"/>
    <row r="942" s="35" customFormat="1" ht="15.75" customHeight="1"/>
    <row r="943" s="35" customFormat="1" ht="15.75" customHeight="1"/>
    <row r="944" s="35" customFormat="1" ht="15.75" customHeight="1"/>
    <row r="945" s="35" customFormat="1" ht="15.75" customHeight="1"/>
    <row r="946" s="35" customFormat="1" ht="15.75" customHeight="1"/>
    <row r="947" s="35" customFormat="1" ht="15.75" customHeight="1"/>
    <row r="948" s="35" customFormat="1" ht="15.75" customHeight="1"/>
    <row r="949" s="35" customFormat="1" ht="15.75" customHeight="1"/>
    <row r="950" s="35" customFormat="1" ht="15.75" customHeight="1"/>
    <row r="951" s="35" customFormat="1" ht="15.75" customHeight="1"/>
    <row r="952" s="35" customFormat="1" ht="15.75" customHeight="1"/>
    <row r="953" s="35" customFormat="1" ht="15.75" customHeight="1"/>
    <row r="954" s="35" customFormat="1" ht="15.75" customHeight="1"/>
    <row r="955" s="35" customFormat="1" ht="15.75" customHeight="1"/>
    <row r="956" s="35" customFormat="1" ht="15.75" customHeight="1"/>
    <row r="957" s="35" customFormat="1" ht="15.75" customHeight="1"/>
    <row r="958" s="35" customFormat="1" ht="15.75" customHeight="1"/>
    <row r="959" s="35" customFormat="1" ht="15.75" customHeight="1"/>
    <row r="960" s="35" customFormat="1" ht="15.75" customHeight="1"/>
    <row r="961" s="35" customFormat="1" ht="15.75" customHeight="1"/>
    <row r="962" s="35" customFormat="1" ht="15.75" customHeight="1"/>
    <row r="963" s="35" customFormat="1" ht="15.75" customHeight="1"/>
    <row r="964" s="35" customFormat="1" ht="15.75" customHeight="1"/>
    <row r="965" s="35" customFormat="1" ht="15.75" customHeight="1"/>
    <row r="966" s="35" customFormat="1" ht="15.75" customHeight="1"/>
    <row r="967" s="35" customFormat="1" ht="15.75" customHeight="1"/>
    <row r="968" s="35" customFormat="1" ht="15.75" customHeight="1"/>
    <row r="969" s="35" customFormat="1" ht="15.75" customHeight="1"/>
    <row r="970" s="35" customFormat="1" ht="15.75" customHeight="1"/>
    <row r="971" s="35" customFormat="1" ht="15.75" customHeight="1"/>
    <row r="972" s="35" customFormat="1" ht="15.75" customHeight="1"/>
    <row r="973" s="35" customFormat="1" ht="15.75" customHeight="1"/>
    <row r="974" s="35" customFormat="1" ht="15.75" customHeight="1"/>
    <row r="975" s="35" customFormat="1" ht="15.75" customHeight="1"/>
    <row r="976" s="35" customFormat="1" ht="15.75" customHeight="1"/>
    <row r="977" s="35" customFormat="1" ht="15.75" customHeight="1"/>
    <row r="978" s="35" customFormat="1" ht="15.75" customHeight="1"/>
    <row r="979" s="35" customFormat="1" ht="15.75" customHeight="1"/>
    <row r="980" s="35" customFormat="1" ht="15.75" customHeight="1"/>
    <row r="981" s="35" customFormat="1" ht="15.75" customHeight="1"/>
    <row r="982" s="35" customFormat="1" ht="15.75" customHeight="1"/>
    <row r="983" s="35" customFormat="1" ht="15.75" customHeight="1"/>
    <row r="984" s="35" customFormat="1" ht="15.75" customHeight="1"/>
    <row r="985" s="35" customFormat="1" ht="15.75" customHeight="1"/>
    <row r="986" s="35" customFormat="1" ht="15.75" customHeight="1"/>
    <row r="987" s="35" customFormat="1" ht="15.75" customHeight="1"/>
    <row r="988" s="35" customFormat="1" ht="15.75" customHeight="1"/>
    <row r="989" s="35" customFormat="1" ht="15.75" customHeight="1"/>
    <row r="990" s="35" customFormat="1" ht="15.75" customHeight="1"/>
    <row r="991" s="35" customFormat="1" ht="15.75" customHeight="1"/>
    <row r="992" s="35" customFormat="1" ht="15.75" customHeight="1"/>
    <row r="993" s="35" customFormat="1" ht="15.75" customHeight="1"/>
    <row r="994" s="35" customFormat="1" ht="15.75" customHeight="1"/>
    <row r="995" s="35" customFormat="1" ht="15.75" customHeight="1"/>
    <row r="996" s="35" customFormat="1" ht="15.75" customHeight="1"/>
    <row r="997" s="35" customFormat="1" ht="15.75" customHeight="1"/>
    <row r="998" s="35" customFormat="1" ht="15.75" customHeight="1"/>
    <row r="999" s="35" customFormat="1" ht="15.75" customHeight="1"/>
    <row r="1000" s="35" customFormat="1" ht="15.75" customHeight="1"/>
  </sheetData>
  <mergeCells count="2">
    <mergeCell ref="A2:Y2"/>
    <mergeCell ref="A1:Y1"/>
  </mergeCell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showGridLines="0" topLeftCell="A10" workbookViewId="0">
      <selection activeCell="D30" sqref="D30"/>
    </sheetView>
  </sheetViews>
  <sheetFormatPr defaultColWidth="12.625" defaultRowHeight="15" customHeight="1"/>
  <cols>
    <col min="1" max="1" width="6.5" customWidth="1"/>
    <col min="2" max="3" width="27.5" customWidth="1"/>
    <col min="4" max="4" width="25" customWidth="1"/>
    <col min="5" max="5" width="27.5" customWidth="1"/>
    <col min="6" max="6" width="45" customWidth="1"/>
    <col min="7" max="8" width="15" customWidth="1"/>
    <col min="9" max="9" width="15.625" customWidth="1"/>
    <col min="10" max="10" width="26.25" customWidth="1"/>
    <col min="11" max="26" width="8.625" customWidth="1"/>
  </cols>
  <sheetData>
    <row r="1" spans="1:10" ht="20.25" customHeight="1">
      <c r="A1" s="19" t="s">
        <v>490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4.25" customHeight="1">
      <c r="A2" s="13" t="s">
        <v>491</v>
      </c>
      <c r="B2" s="14"/>
      <c r="C2" s="14"/>
      <c r="D2" s="14"/>
      <c r="E2" s="14"/>
      <c r="F2" s="14"/>
      <c r="G2" s="14"/>
      <c r="H2" s="14"/>
      <c r="I2" s="14"/>
      <c r="J2" s="15"/>
    </row>
    <row r="4" spans="1:10">
      <c r="A4" s="16" t="s">
        <v>492</v>
      </c>
      <c r="B4" s="17"/>
      <c r="C4" s="17"/>
      <c r="D4" s="17"/>
      <c r="E4" s="17"/>
      <c r="F4" s="17"/>
      <c r="G4" s="17"/>
      <c r="H4" s="17"/>
      <c r="I4" s="17"/>
      <c r="J4" s="18"/>
    </row>
    <row r="5" spans="1:10" ht="27" customHeight="1">
      <c r="A5" s="2" t="s">
        <v>493</v>
      </c>
      <c r="B5" s="2" t="s">
        <v>494</v>
      </c>
      <c r="C5" s="2" t="s">
        <v>495</v>
      </c>
      <c r="D5" s="2" t="s">
        <v>496</v>
      </c>
      <c r="E5" s="2" t="s">
        <v>497</v>
      </c>
      <c r="F5" s="2" t="s">
        <v>498</v>
      </c>
      <c r="G5" s="2" t="s">
        <v>499</v>
      </c>
      <c r="H5" s="2" t="s">
        <v>74</v>
      </c>
      <c r="I5" s="2" t="s">
        <v>500</v>
      </c>
      <c r="J5" s="2" t="s">
        <v>18</v>
      </c>
    </row>
    <row r="6" spans="1:10" ht="27" customHeight="1">
      <c r="A6" s="3" t="s">
        <v>501</v>
      </c>
      <c r="B6" s="3" t="s">
        <v>502</v>
      </c>
      <c r="C6" s="3" t="s">
        <v>503</v>
      </c>
      <c r="D6" s="3" t="s">
        <v>504</v>
      </c>
      <c r="E6" s="3" t="s">
        <v>505</v>
      </c>
      <c r="F6" s="3" t="s">
        <v>88</v>
      </c>
      <c r="G6" s="6">
        <v>46190</v>
      </c>
      <c r="H6" s="3" t="s">
        <v>506</v>
      </c>
      <c r="I6" s="3" t="s">
        <v>507</v>
      </c>
      <c r="J6" s="3"/>
    </row>
    <row r="7" spans="1:10" ht="27" customHeight="1">
      <c r="A7" s="3" t="s">
        <v>508</v>
      </c>
      <c r="B7" s="3" t="s">
        <v>509</v>
      </c>
      <c r="C7" s="3" t="s">
        <v>510</v>
      </c>
      <c r="D7" s="3" t="s">
        <v>511</v>
      </c>
      <c r="E7" s="3" t="s">
        <v>512</v>
      </c>
      <c r="F7" s="3" t="s">
        <v>88</v>
      </c>
      <c r="G7" s="6">
        <v>46190</v>
      </c>
      <c r="H7" s="3" t="s">
        <v>506</v>
      </c>
      <c r="I7" s="3" t="s">
        <v>28</v>
      </c>
      <c r="J7" s="3"/>
    </row>
    <row r="8" spans="1:10" ht="27" customHeight="1">
      <c r="A8" s="3" t="s">
        <v>513</v>
      </c>
      <c r="B8" s="3" t="s">
        <v>194</v>
      </c>
      <c r="C8" s="3" t="s">
        <v>514</v>
      </c>
      <c r="D8" s="3" t="s">
        <v>515</v>
      </c>
      <c r="E8" s="3" t="s">
        <v>516</v>
      </c>
      <c r="F8" s="3" t="s">
        <v>88</v>
      </c>
      <c r="G8" s="6">
        <v>46190</v>
      </c>
      <c r="H8" s="3" t="s">
        <v>506</v>
      </c>
      <c r="I8" s="3" t="s">
        <v>32</v>
      </c>
      <c r="J8" s="3"/>
    </row>
    <row r="9" spans="1:10" ht="27" customHeight="1">
      <c r="A9" s="3" t="s">
        <v>517</v>
      </c>
      <c r="B9" s="3" t="s">
        <v>518</v>
      </c>
      <c r="C9" s="3" t="s">
        <v>519</v>
      </c>
      <c r="D9" s="3" t="s">
        <v>520</v>
      </c>
      <c r="E9" s="3" t="s">
        <v>521</v>
      </c>
      <c r="F9" s="3" t="s">
        <v>88</v>
      </c>
      <c r="G9" s="6">
        <v>46190</v>
      </c>
      <c r="H9" s="3" t="s">
        <v>506</v>
      </c>
      <c r="I9" s="3" t="s">
        <v>37</v>
      </c>
      <c r="J9" s="3"/>
    </row>
    <row r="10" spans="1:10" ht="27" customHeight="1">
      <c r="A10" s="3" t="s">
        <v>522</v>
      </c>
      <c r="B10" s="3" t="s">
        <v>523</v>
      </c>
      <c r="C10" s="3" t="s">
        <v>524</v>
      </c>
      <c r="D10" s="3" t="s">
        <v>525</v>
      </c>
      <c r="E10" s="3" t="s">
        <v>526</v>
      </c>
      <c r="F10" s="3" t="s">
        <v>88</v>
      </c>
      <c r="G10" s="6">
        <v>46190</v>
      </c>
      <c r="H10" s="3" t="s">
        <v>506</v>
      </c>
      <c r="I10" s="3" t="s">
        <v>527</v>
      </c>
      <c r="J10" s="3"/>
    </row>
    <row r="11" spans="1:10" ht="27" customHeight="1">
      <c r="A11" s="3" t="s">
        <v>528</v>
      </c>
      <c r="B11" s="3" t="s">
        <v>529</v>
      </c>
      <c r="C11" s="3" t="s">
        <v>530</v>
      </c>
      <c r="D11" s="3" t="s">
        <v>531</v>
      </c>
      <c r="E11" s="3" t="s">
        <v>532</v>
      </c>
      <c r="F11" s="3" t="s">
        <v>88</v>
      </c>
      <c r="G11" s="6">
        <v>46190</v>
      </c>
      <c r="H11" s="3" t="s">
        <v>506</v>
      </c>
      <c r="I11" s="3" t="s">
        <v>533</v>
      </c>
      <c r="J11" s="3"/>
    </row>
    <row r="12" spans="1:10" ht="27" customHeight="1">
      <c r="A12" s="3" t="s">
        <v>534</v>
      </c>
      <c r="B12" s="3" t="s">
        <v>535</v>
      </c>
      <c r="C12" s="3" t="s">
        <v>536</v>
      </c>
      <c r="D12" s="3" t="s">
        <v>537</v>
      </c>
      <c r="E12" s="3" t="s">
        <v>538</v>
      </c>
    </row>
    <row r="13" spans="1:10" ht="27" customHeight="1"/>
    <row r="14" spans="1:10" ht="27" customHeight="1">
      <c r="A14" s="16" t="s">
        <v>539</v>
      </c>
      <c r="B14" s="17"/>
      <c r="C14" s="17"/>
      <c r="D14" s="17"/>
      <c r="E14" s="17"/>
      <c r="F14" s="17"/>
      <c r="G14" s="17"/>
      <c r="H14" s="17"/>
      <c r="I14" s="17"/>
      <c r="J14" s="18"/>
    </row>
    <row r="15" spans="1:10" ht="27" customHeight="1">
      <c r="A15" s="2" t="s">
        <v>493</v>
      </c>
      <c r="B15" s="2" t="s">
        <v>9</v>
      </c>
      <c r="C15" s="2" t="s">
        <v>540</v>
      </c>
      <c r="D15" s="2" t="s">
        <v>541</v>
      </c>
      <c r="E15" s="2" t="s">
        <v>542</v>
      </c>
      <c r="F15" s="2" t="s">
        <v>543</v>
      </c>
      <c r="G15" s="2" t="s">
        <v>73</v>
      </c>
      <c r="H15" s="2" t="s">
        <v>74</v>
      </c>
      <c r="I15" s="2" t="s">
        <v>544</v>
      </c>
      <c r="J15" s="2" t="s">
        <v>545</v>
      </c>
    </row>
    <row r="16" spans="1:10" ht="27" customHeight="1">
      <c r="A16" s="3" t="s">
        <v>546</v>
      </c>
      <c r="B16" s="3" t="s">
        <v>547</v>
      </c>
      <c r="C16" s="3" t="s">
        <v>548</v>
      </c>
      <c r="D16" s="3" t="s">
        <v>548</v>
      </c>
      <c r="E16" s="8">
        <f t="shared" ref="E16:E24" si="0">IF(C16="Cao",3,IF(C16="Trung bình",2,1))*IF(D16="Cao",3,IF(D16="Trung bình",2,1))</f>
        <v>9</v>
      </c>
      <c r="F16" s="3" t="s">
        <v>549</v>
      </c>
      <c r="G16" s="3" t="s">
        <v>88</v>
      </c>
      <c r="H16" s="3" t="s">
        <v>550</v>
      </c>
      <c r="I16" s="3" t="s">
        <v>551</v>
      </c>
      <c r="J16" s="3"/>
    </row>
    <row r="17" spans="1:10" ht="27" customHeight="1">
      <c r="A17" s="3" t="s">
        <v>552</v>
      </c>
      <c r="B17" s="3" t="s">
        <v>553</v>
      </c>
      <c r="C17" s="3" t="s">
        <v>554</v>
      </c>
      <c r="D17" s="3" t="s">
        <v>554</v>
      </c>
      <c r="E17" s="8">
        <f t="shared" si="0"/>
        <v>4</v>
      </c>
      <c r="F17" s="3" t="s">
        <v>555</v>
      </c>
      <c r="G17" s="3" t="s">
        <v>88</v>
      </c>
      <c r="H17" s="3" t="s">
        <v>550</v>
      </c>
      <c r="I17" s="3" t="s">
        <v>556</v>
      </c>
      <c r="J17" s="3"/>
    </row>
    <row r="18" spans="1:10" ht="27" customHeight="1">
      <c r="A18" s="3" t="s">
        <v>557</v>
      </c>
      <c r="B18" s="3" t="s">
        <v>558</v>
      </c>
      <c r="C18" s="3" t="s">
        <v>559</v>
      </c>
      <c r="D18" s="3" t="s">
        <v>548</v>
      </c>
      <c r="E18" s="8">
        <f t="shared" si="0"/>
        <v>3</v>
      </c>
      <c r="F18" s="3" t="s">
        <v>560</v>
      </c>
      <c r="G18" s="3" t="s">
        <v>88</v>
      </c>
      <c r="H18" s="3" t="s">
        <v>561</v>
      </c>
      <c r="I18" s="3" t="s">
        <v>562</v>
      </c>
      <c r="J18" s="3"/>
    </row>
    <row r="19" spans="1:10" ht="27" customHeight="1">
      <c r="A19" s="3" t="s">
        <v>563</v>
      </c>
      <c r="B19" s="3" t="s">
        <v>564</v>
      </c>
      <c r="C19" s="3" t="s">
        <v>548</v>
      </c>
      <c r="D19" s="3" t="s">
        <v>548</v>
      </c>
      <c r="E19" s="8">
        <f t="shared" si="0"/>
        <v>9</v>
      </c>
      <c r="F19" s="3" t="s">
        <v>565</v>
      </c>
      <c r="G19" s="3" t="s">
        <v>409</v>
      </c>
      <c r="H19" s="3" t="s">
        <v>550</v>
      </c>
      <c r="I19" s="3" t="s">
        <v>566</v>
      </c>
      <c r="J19" s="3"/>
    </row>
    <row r="20" spans="1:10" ht="27" customHeight="1">
      <c r="A20" s="3" t="s">
        <v>567</v>
      </c>
      <c r="B20" s="3" t="s">
        <v>568</v>
      </c>
      <c r="C20" s="3" t="s">
        <v>554</v>
      </c>
      <c r="D20" s="3" t="s">
        <v>548</v>
      </c>
      <c r="E20" s="8">
        <f t="shared" si="0"/>
        <v>6</v>
      </c>
      <c r="F20" s="3" t="s">
        <v>569</v>
      </c>
      <c r="G20" s="3" t="s">
        <v>88</v>
      </c>
      <c r="H20" s="3" t="s">
        <v>550</v>
      </c>
      <c r="I20" s="3" t="s">
        <v>570</v>
      </c>
      <c r="J20" s="3"/>
    </row>
    <row r="21" spans="1:10" ht="27" customHeight="1">
      <c r="A21" s="3" t="s">
        <v>571</v>
      </c>
      <c r="B21" s="3" t="s">
        <v>572</v>
      </c>
      <c r="C21" s="3" t="s">
        <v>554</v>
      </c>
      <c r="D21" s="3" t="s">
        <v>548</v>
      </c>
      <c r="E21" s="8">
        <f t="shared" si="0"/>
        <v>6</v>
      </c>
      <c r="F21" s="3" t="s">
        <v>573</v>
      </c>
      <c r="G21" s="3" t="s">
        <v>88</v>
      </c>
      <c r="H21" s="3" t="s">
        <v>574</v>
      </c>
      <c r="I21" s="3" t="s">
        <v>575</v>
      </c>
      <c r="J21" s="3"/>
    </row>
    <row r="22" spans="1:10" ht="27" customHeight="1">
      <c r="A22" s="3" t="s">
        <v>576</v>
      </c>
      <c r="B22" s="3" t="s">
        <v>577</v>
      </c>
      <c r="C22" s="3" t="s">
        <v>554</v>
      </c>
      <c r="D22" s="3" t="s">
        <v>554</v>
      </c>
      <c r="E22" s="8">
        <f t="shared" si="0"/>
        <v>4</v>
      </c>
      <c r="F22" s="3" t="s">
        <v>578</v>
      </c>
      <c r="G22" s="3" t="s">
        <v>88</v>
      </c>
      <c r="H22" s="3" t="s">
        <v>550</v>
      </c>
      <c r="I22" s="3" t="s">
        <v>53</v>
      </c>
      <c r="J22" s="3"/>
    </row>
    <row r="23" spans="1:10" ht="27" customHeight="1">
      <c r="A23" s="3" t="s">
        <v>579</v>
      </c>
      <c r="B23" s="3" t="s">
        <v>580</v>
      </c>
      <c r="C23" s="3" t="s">
        <v>554</v>
      </c>
      <c r="D23" s="3" t="s">
        <v>554</v>
      </c>
      <c r="E23" s="8">
        <f t="shared" si="0"/>
        <v>4</v>
      </c>
      <c r="F23" s="3" t="s">
        <v>581</v>
      </c>
      <c r="G23" s="3" t="s">
        <v>88</v>
      </c>
      <c r="H23" s="3" t="s">
        <v>550</v>
      </c>
      <c r="I23" s="3" t="s">
        <v>582</v>
      </c>
      <c r="J23" s="3"/>
    </row>
    <row r="24" spans="1:10" ht="35.25" customHeight="1">
      <c r="A24" s="3" t="s">
        <v>583</v>
      </c>
      <c r="B24" s="29" t="s">
        <v>584</v>
      </c>
      <c r="C24" s="3" t="s">
        <v>559</v>
      </c>
      <c r="D24" s="3" t="s">
        <v>554</v>
      </c>
      <c r="E24" s="8">
        <f t="shared" si="0"/>
        <v>2</v>
      </c>
    </row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J1"/>
    <mergeCell ref="A4:J4"/>
    <mergeCell ref="A14:J14"/>
    <mergeCell ref="A2:J2"/>
  </mergeCells>
  <conditionalFormatting sqref="E16:E23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H16:H23">
    <cfRule type="containsText" dxfId="56" priority="2" operator="containsText" text="Hoàn thành">
      <formula>NOT(ISERROR(SEARCH(("Hoàn thành"),(H16))))</formula>
    </cfRule>
    <cfRule type="containsText" dxfId="55" priority="3" operator="containsText" text="Đang làm">
      <formula>NOT(ISERROR(SEARCH(("Đang làm"),(H16))))</formula>
    </cfRule>
    <cfRule type="containsText" dxfId="54" priority="4" operator="containsText" text="Rủi ro">
      <formula>NOT(ISERROR(SEARCH(("Rủi ro"),(H16))))</formula>
    </cfRule>
    <cfRule type="containsText" dxfId="53" priority="5" operator="containsText" text="Tạm dừng">
      <formula>NOT(ISERROR(SEARCH(("Tạm dừng"),(H16))))</formula>
    </cfRule>
  </conditionalFormatting>
  <dataValidations count="3">
    <dataValidation type="list" allowBlank="1" sqref="C16:D23" xr:uid="{00000000-0002-0000-0300-000000000000}">
      <formula1>"Thấp,Trung bình,Cao"</formula1>
    </dataValidation>
    <dataValidation type="list" allowBlank="1" sqref="H16:H23" xr:uid="{00000000-0002-0000-0300-000001000000}">
      <formula1>"Mở,Đang xử lý,Đã giảm thiểu,Chấp nhận"</formula1>
    </dataValidation>
    <dataValidation type="list" allowBlank="1" sqref="H6:H11" xr:uid="{00000000-0002-0000-0300-000002000000}">
      <formula1>"Đề xuất,Đã chốt,Cần xem lại"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showGridLines="0" workbookViewId="0">
      <selection activeCell="F14" sqref="F14"/>
    </sheetView>
  </sheetViews>
  <sheetFormatPr defaultColWidth="12.625" defaultRowHeight="15" customHeight="1"/>
  <cols>
    <col min="1" max="1" width="23.75" customWidth="1"/>
    <col min="2" max="2" width="11.875" customWidth="1"/>
    <col min="3" max="4" width="13.125" customWidth="1"/>
    <col min="5" max="5" width="37.5" customWidth="1"/>
    <col min="6" max="6" width="18.125" customWidth="1"/>
    <col min="7" max="26" width="8.625" customWidth="1"/>
  </cols>
  <sheetData>
    <row r="1" spans="1:6" ht="20.25" customHeight="1">
      <c r="A1" s="19" t="s">
        <v>585</v>
      </c>
      <c r="B1" s="20"/>
      <c r="C1" s="20"/>
      <c r="D1" s="20"/>
      <c r="E1" s="20"/>
      <c r="F1" s="21"/>
    </row>
    <row r="2" spans="1:6" ht="14.25" customHeight="1">
      <c r="A2" s="13" t="s">
        <v>586</v>
      </c>
      <c r="B2" s="14"/>
      <c r="C2" s="14"/>
      <c r="D2" s="14"/>
      <c r="E2" s="14"/>
      <c r="F2" s="15"/>
    </row>
    <row r="4" spans="1:6" ht="25.5" customHeight="1">
      <c r="A4" s="1" t="s">
        <v>15</v>
      </c>
      <c r="B4" s="1" t="s">
        <v>409</v>
      </c>
      <c r="C4" s="1" t="s">
        <v>88</v>
      </c>
      <c r="D4" s="1" t="s">
        <v>119</v>
      </c>
      <c r="E4" s="1" t="s">
        <v>587</v>
      </c>
      <c r="F4" s="1" t="s">
        <v>588</v>
      </c>
    </row>
    <row r="5" spans="1:6" ht="25.5" customHeight="1">
      <c r="A5" s="3" t="s">
        <v>589</v>
      </c>
      <c r="B5" s="7" t="s">
        <v>590</v>
      </c>
      <c r="C5" s="7" t="s">
        <v>591</v>
      </c>
      <c r="D5" s="7" t="s">
        <v>592</v>
      </c>
      <c r="E5" s="3" t="s">
        <v>593</v>
      </c>
      <c r="F5" s="3" t="s">
        <v>57</v>
      </c>
    </row>
    <row r="6" spans="1:6" ht="25.5" customHeight="1">
      <c r="A6" s="3" t="s">
        <v>594</v>
      </c>
      <c r="B6" s="7" t="s">
        <v>590</v>
      </c>
      <c r="C6" s="7" t="s">
        <v>591</v>
      </c>
      <c r="D6" s="7" t="s">
        <v>590</v>
      </c>
      <c r="E6" s="3" t="s">
        <v>595</v>
      </c>
      <c r="F6" s="3" t="s">
        <v>21</v>
      </c>
    </row>
    <row r="7" spans="1:6" ht="25.5" customHeight="1">
      <c r="A7" s="3" t="s">
        <v>596</v>
      </c>
      <c r="B7" s="7" t="s">
        <v>590</v>
      </c>
      <c r="C7" s="7" t="s">
        <v>591</v>
      </c>
      <c r="D7" s="7" t="s">
        <v>590</v>
      </c>
      <c r="E7" s="3" t="s">
        <v>597</v>
      </c>
      <c r="F7" s="3" t="s">
        <v>21</v>
      </c>
    </row>
    <row r="8" spans="1:6" ht="25.5" customHeight="1">
      <c r="A8" s="3" t="s">
        <v>30</v>
      </c>
      <c r="B8" s="7" t="s">
        <v>590</v>
      </c>
      <c r="C8" s="7" t="s">
        <v>591</v>
      </c>
      <c r="D8" s="7" t="s">
        <v>590</v>
      </c>
      <c r="E8" s="3" t="s">
        <v>598</v>
      </c>
      <c r="F8" s="3" t="s">
        <v>21</v>
      </c>
    </row>
    <row r="9" spans="1:6" ht="25.5" customHeight="1">
      <c r="A9" s="3" t="s">
        <v>221</v>
      </c>
      <c r="B9" s="7" t="s">
        <v>590</v>
      </c>
      <c r="C9" s="7" t="s">
        <v>591</v>
      </c>
      <c r="D9" s="7" t="s">
        <v>590</v>
      </c>
      <c r="E9" s="3" t="s">
        <v>599</v>
      </c>
      <c r="F9" s="3" t="s">
        <v>21</v>
      </c>
    </row>
    <row r="10" spans="1:6" ht="25.5" customHeight="1">
      <c r="A10" s="3" t="s">
        <v>263</v>
      </c>
      <c r="B10" s="7" t="s">
        <v>592</v>
      </c>
      <c r="C10" s="7" t="s">
        <v>591</v>
      </c>
      <c r="D10" s="7" t="s">
        <v>590</v>
      </c>
      <c r="E10" s="3" t="s">
        <v>600</v>
      </c>
      <c r="F10" s="3" t="s">
        <v>21</v>
      </c>
    </row>
    <row r="11" spans="1:6" ht="25.5" customHeight="1">
      <c r="A11" s="3" t="s">
        <v>482</v>
      </c>
      <c r="B11" s="7" t="s">
        <v>592</v>
      </c>
      <c r="C11" s="7" t="s">
        <v>591</v>
      </c>
      <c r="D11" s="7" t="s">
        <v>592</v>
      </c>
      <c r="E11" s="3" t="s">
        <v>601</v>
      </c>
      <c r="F11" s="3" t="s">
        <v>21</v>
      </c>
    </row>
    <row r="12" spans="1:6" ht="25.5" customHeight="1">
      <c r="A12" s="3" t="s">
        <v>602</v>
      </c>
      <c r="B12" s="7" t="s">
        <v>592</v>
      </c>
      <c r="C12" s="7" t="s">
        <v>591</v>
      </c>
      <c r="D12" s="7" t="s">
        <v>592</v>
      </c>
      <c r="E12" s="3" t="s">
        <v>603</v>
      </c>
      <c r="F12" s="3" t="s">
        <v>21</v>
      </c>
    </row>
    <row r="13" spans="1:6" ht="25.5" customHeight="1">
      <c r="A13" s="3" t="s">
        <v>486</v>
      </c>
      <c r="B13" s="7" t="s">
        <v>592</v>
      </c>
      <c r="C13" s="7" t="s">
        <v>592</v>
      </c>
      <c r="D13" s="7" t="s">
        <v>591</v>
      </c>
      <c r="E13" s="3" t="s">
        <v>604</v>
      </c>
      <c r="F13" s="3" t="s">
        <v>21</v>
      </c>
    </row>
    <row r="14" spans="1:6" ht="25.5" customHeight="1">
      <c r="A14" s="3" t="s">
        <v>605</v>
      </c>
      <c r="B14" s="7" t="s">
        <v>606</v>
      </c>
      <c r="C14" s="7" t="s">
        <v>607</v>
      </c>
      <c r="D14" s="7" t="s">
        <v>607</v>
      </c>
      <c r="E14" s="3" t="s">
        <v>608</v>
      </c>
      <c r="F14" s="3" t="s">
        <v>609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1:F1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showGridLines="0" topLeftCell="A4" workbookViewId="0">
      <selection activeCell="H33" sqref="H33"/>
    </sheetView>
  </sheetViews>
  <sheetFormatPr defaultColWidth="12.625" defaultRowHeight="15" customHeight="1"/>
  <cols>
    <col min="1" max="1" width="20" customWidth="1"/>
    <col min="2" max="5" width="11.25" customWidth="1"/>
    <col min="6" max="6" width="13.75" customWidth="1"/>
    <col min="7" max="7" width="3.75" customWidth="1"/>
    <col min="8" max="8" width="13.75" customWidth="1"/>
    <col min="9" max="9" width="31.875" customWidth="1"/>
    <col min="10" max="10" width="15" customWidth="1"/>
    <col min="11" max="26" width="8.625" customWidth="1"/>
  </cols>
  <sheetData>
    <row r="1" spans="1:10" ht="20.25" customHeight="1">
      <c r="A1" s="19" t="s">
        <v>610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14.25" customHeight="1">
      <c r="A2" s="13" t="s">
        <v>611</v>
      </c>
      <c r="B2" s="14"/>
      <c r="C2" s="14"/>
      <c r="D2" s="14"/>
      <c r="E2" s="14"/>
      <c r="F2" s="14"/>
      <c r="G2" s="14"/>
      <c r="H2" s="14"/>
      <c r="I2" s="14"/>
      <c r="J2" s="15"/>
    </row>
    <row r="4" spans="1:10">
      <c r="A4" s="16" t="s">
        <v>612</v>
      </c>
      <c r="B4" s="17"/>
      <c r="C4" s="17"/>
      <c r="D4" s="17"/>
      <c r="E4" s="17"/>
      <c r="F4" s="18"/>
      <c r="H4" s="16" t="s">
        <v>613</v>
      </c>
      <c r="I4" s="17"/>
      <c r="J4" s="18"/>
    </row>
    <row r="5" spans="1:10">
      <c r="A5" s="2" t="s">
        <v>614</v>
      </c>
      <c r="B5" s="2" t="s">
        <v>615</v>
      </c>
      <c r="C5" s="2" t="s">
        <v>616</v>
      </c>
      <c r="D5" s="2" t="s">
        <v>617</v>
      </c>
      <c r="E5" s="2" t="s">
        <v>618</v>
      </c>
      <c r="F5" s="2" t="s">
        <v>619</v>
      </c>
      <c r="H5" s="2" t="s">
        <v>620</v>
      </c>
      <c r="I5" s="2" t="s">
        <v>621</v>
      </c>
      <c r="J5" s="2" t="s">
        <v>74</v>
      </c>
    </row>
    <row r="6" spans="1:10" ht="28.5" customHeight="1">
      <c r="A6" s="3" t="s">
        <v>622</v>
      </c>
      <c r="B6" s="3" t="s">
        <v>623</v>
      </c>
      <c r="C6" s="3" t="s">
        <v>623</v>
      </c>
      <c r="D6" s="3" t="s">
        <v>623</v>
      </c>
      <c r="E6" s="3" t="s">
        <v>623</v>
      </c>
      <c r="F6" s="3" t="s">
        <v>623</v>
      </c>
      <c r="H6" s="3" t="s">
        <v>624</v>
      </c>
      <c r="I6" s="3" t="s">
        <v>625</v>
      </c>
      <c r="J6" s="3" t="s">
        <v>6</v>
      </c>
    </row>
    <row r="7" spans="1:10" ht="28.5" customHeight="1">
      <c r="A7" s="3" t="s">
        <v>626</v>
      </c>
      <c r="B7" s="3" t="s">
        <v>623</v>
      </c>
      <c r="C7" s="3" t="s">
        <v>623</v>
      </c>
      <c r="D7" s="3" t="s">
        <v>623</v>
      </c>
      <c r="E7" s="3" t="s">
        <v>623</v>
      </c>
      <c r="F7" s="3" t="s">
        <v>627</v>
      </c>
      <c r="H7" s="3" t="s">
        <v>73</v>
      </c>
      <c r="I7" s="3" t="s">
        <v>628</v>
      </c>
      <c r="J7" s="3" t="s">
        <v>6</v>
      </c>
    </row>
    <row r="8" spans="1:10" ht="28.5" customHeight="1">
      <c r="A8" s="3" t="s">
        <v>629</v>
      </c>
      <c r="B8" s="3" t="s">
        <v>623</v>
      </c>
      <c r="C8" s="3" t="s">
        <v>623</v>
      </c>
      <c r="D8" s="3" t="s">
        <v>623</v>
      </c>
      <c r="E8" s="3" t="s">
        <v>630</v>
      </c>
      <c r="F8" s="3" t="s">
        <v>630</v>
      </c>
      <c r="H8" s="3" t="s">
        <v>631</v>
      </c>
      <c r="I8" s="3" t="s">
        <v>632</v>
      </c>
      <c r="J8" s="3" t="s">
        <v>6</v>
      </c>
    </row>
    <row r="9" spans="1:10" ht="28.5" customHeight="1">
      <c r="A9" s="3" t="s">
        <v>633</v>
      </c>
      <c r="B9" s="3" t="s">
        <v>623</v>
      </c>
      <c r="C9" s="3" t="s">
        <v>630</v>
      </c>
      <c r="D9" s="3" t="s">
        <v>630</v>
      </c>
      <c r="E9" s="3" t="s">
        <v>630</v>
      </c>
      <c r="F9" s="3" t="s">
        <v>630</v>
      </c>
      <c r="H9" s="3" t="s">
        <v>634</v>
      </c>
      <c r="I9" s="3" t="s">
        <v>635</v>
      </c>
      <c r="J9" s="3" t="s">
        <v>6</v>
      </c>
    </row>
    <row r="10" spans="1:10" ht="28.5" customHeight="1">
      <c r="A10" s="3" t="s">
        <v>636</v>
      </c>
      <c r="B10" s="3" t="s">
        <v>637</v>
      </c>
      <c r="C10" s="3" t="s">
        <v>637</v>
      </c>
      <c r="D10" s="3" t="s">
        <v>637</v>
      </c>
      <c r="E10" s="3" t="s">
        <v>637</v>
      </c>
      <c r="F10" s="3" t="s">
        <v>638</v>
      </c>
      <c r="H10" s="3" t="s">
        <v>639</v>
      </c>
      <c r="I10" s="3" t="s">
        <v>640</v>
      </c>
      <c r="J10" s="3" t="s">
        <v>6</v>
      </c>
    </row>
    <row r="13" spans="1:10">
      <c r="A13" s="16" t="s">
        <v>641</v>
      </c>
      <c r="B13" s="17"/>
      <c r="C13" s="17"/>
      <c r="D13" s="17"/>
      <c r="E13" s="17"/>
      <c r="F13" s="17"/>
      <c r="G13" s="17"/>
      <c r="H13" s="17"/>
      <c r="I13" s="17"/>
      <c r="J13" s="18"/>
    </row>
    <row r="14" spans="1:10" ht="16.5" customHeight="1">
      <c r="A14" s="25" t="s">
        <v>642</v>
      </c>
      <c r="B14" s="26"/>
      <c r="C14" s="26"/>
      <c r="D14" s="26"/>
      <c r="E14" s="26"/>
      <c r="F14" s="26"/>
      <c r="G14" s="26"/>
      <c r="H14" s="26"/>
      <c r="I14" s="26"/>
      <c r="J14" s="27"/>
    </row>
    <row r="15" spans="1:10" ht="16.5" customHeight="1">
      <c r="A15" s="25" t="s">
        <v>643</v>
      </c>
      <c r="B15" s="26"/>
      <c r="C15" s="26"/>
      <c r="D15" s="26"/>
      <c r="E15" s="26"/>
      <c r="F15" s="26"/>
      <c r="G15" s="26"/>
      <c r="H15" s="26"/>
      <c r="I15" s="26"/>
      <c r="J15" s="27"/>
    </row>
    <row r="16" spans="1:10" ht="16.5" customHeight="1">
      <c r="A16" s="25" t="s">
        <v>644</v>
      </c>
      <c r="B16" s="26"/>
      <c r="C16" s="26"/>
      <c r="D16" s="26"/>
      <c r="E16" s="26"/>
      <c r="F16" s="26"/>
      <c r="G16" s="26"/>
      <c r="H16" s="26"/>
      <c r="I16" s="26"/>
      <c r="J16" s="27"/>
    </row>
    <row r="17" spans="1:10" ht="16.5" customHeight="1">
      <c r="A17" s="25" t="s">
        <v>645</v>
      </c>
      <c r="B17" s="26"/>
      <c r="C17" s="26"/>
      <c r="D17" s="26"/>
      <c r="E17" s="26"/>
      <c r="F17" s="26"/>
      <c r="G17" s="26"/>
      <c r="H17" s="26"/>
      <c r="I17" s="26"/>
      <c r="J17" s="27"/>
    </row>
    <row r="18" spans="1:10" ht="16.5" customHeight="1">
      <c r="A18" s="25" t="s">
        <v>646</v>
      </c>
      <c r="B18" s="26"/>
      <c r="C18" s="26"/>
      <c r="D18" s="26"/>
      <c r="E18" s="26"/>
      <c r="F18" s="26"/>
      <c r="G18" s="26"/>
      <c r="H18" s="26"/>
      <c r="I18" s="26"/>
      <c r="J18" s="27"/>
    </row>
    <row r="19" spans="1:10" ht="16.5" customHeight="1">
      <c r="A19" s="25" t="s">
        <v>647</v>
      </c>
      <c r="B19" s="26"/>
      <c r="C19" s="26"/>
      <c r="D19" s="26"/>
      <c r="E19" s="26"/>
      <c r="F19" s="26"/>
      <c r="G19" s="26"/>
      <c r="H19" s="26"/>
      <c r="I19" s="26"/>
      <c r="J19" s="27"/>
    </row>
    <row r="20" spans="1:10" ht="16.5" customHeight="1">
      <c r="A20" s="25" t="s">
        <v>648</v>
      </c>
      <c r="B20" s="26"/>
      <c r="C20" s="26"/>
      <c r="D20" s="26"/>
      <c r="E20" s="26"/>
      <c r="F20" s="26"/>
      <c r="G20" s="26"/>
      <c r="H20" s="26"/>
      <c r="I20" s="26"/>
      <c r="J20" s="27"/>
    </row>
    <row r="21" spans="1:10" ht="16.5" customHeight="1">
      <c r="A21" s="25" t="s">
        <v>649</v>
      </c>
      <c r="B21" s="26"/>
      <c r="C21" s="26"/>
      <c r="D21" s="26"/>
      <c r="E21" s="26"/>
      <c r="F21" s="26"/>
      <c r="G21" s="26"/>
      <c r="H21" s="26"/>
      <c r="I21" s="26"/>
      <c r="J21" s="27"/>
    </row>
    <row r="22" spans="1:10" ht="16.5" customHeight="1">
      <c r="A22" s="25" t="s">
        <v>650</v>
      </c>
      <c r="B22" s="26"/>
      <c r="C22" s="26"/>
      <c r="D22" s="26"/>
      <c r="E22" s="26"/>
      <c r="F22" s="26"/>
      <c r="G22" s="26"/>
      <c r="H22" s="26"/>
      <c r="I22" s="26"/>
      <c r="J22" s="27"/>
    </row>
    <row r="23" spans="1:10" ht="16.5" customHeight="1">
      <c r="A23" s="25" t="s">
        <v>651</v>
      </c>
      <c r="B23" s="26"/>
      <c r="C23" s="26"/>
      <c r="D23" s="26"/>
      <c r="E23" s="26"/>
      <c r="F23" s="26"/>
      <c r="G23" s="26"/>
      <c r="H23" s="26"/>
      <c r="I23" s="26"/>
      <c r="J23" s="27"/>
    </row>
    <row r="24" spans="1:10" ht="16.5" customHeight="1">
      <c r="A24" s="25" t="s">
        <v>652</v>
      </c>
      <c r="B24" s="26"/>
      <c r="C24" s="26"/>
      <c r="D24" s="26"/>
      <c r="E24" s="26"/>
      <c r="F24" s="26"/>
      <c r="G24" s="26"/>
      <c r="H24" s="26"/>
      <c r="I24" s="26"/>
      <c r="J24" s="27"/>
    </row>
    <row r="25" spans="1:10" ht="16.5" customHeight="1">
      <c r="A25" s="25" t="s">
        <v>653</v>
      </c>
      <c r="B25" s="26"/>
      <c r="C25" s="26"/>
      <c r="D25" s="26"/>
      <c r="E25" s="26"/>
      <c r="F25" s="26"/>
      <c r="G25" s="26"/>
      <c r="H25" s="26"/>
      <c r="I25" s="26"/>
      <c r="J25" s="27"/>
    </row>
    <row r="26" spans="1:10" ht="16.5" customHeight="1">
      <c r="A26" s="25" t="s">
        <v>654</v>
      </c>
      <c r="B26" s="26"/>
      <c r="C26" s="26"/>
      <c r="D26" s="26"/>
      <c r="E26" s="26"/>
      <c r="F26" s="26"/>
      <c r="G26" s="26"/>
      <c r="H26" s="26"/>
      <c r="I26" s="26"/>
      <c r="J26" s="27"/>
    </row>
    <row r="27" spans="1:10" ht="16.5" customHeight="1">
      <c r="A27" s="25" t="s">
        <v>655</v>
      </c>
      <c r="B27" s="26"/>
      <c r="C27" s="26"/>
      <c r="D27" s="26"/>
      <c r="E27" s="26"/>
      <c r="F27" s="26"/>
      <c r="G27" s="26"/>
      <c r="H27" s="26"/>
      <c r="I27" s="26"/>
      <c r="J27" s="27"/>
    </row>
    <row r="28" spans="1:10" ht="15.75" customHeight="1">
      <c r="A28" s="9" t="s">
        <v>656</v>
      </c>
    </row>
    <row r="29" spans="1:10" ht="15.75" customHeight="1">
      <c r="A29" s="9" t="s">
        <v>657</v>
      </c>
    </row>
    <row r="30" spans="1:10" ht="15.75" customHeight="1">
      <c r="A30" s="9" t="s">
        <v>658</v>
      </c>
    </row>
    <row r="31" spans="1:10" ht="15.75" customHeight="1">
      <c r="A31" s="9" t="s">
        <v>659</v>
      </c>
    </row>
    <row r="32" spans="1:10" ht="15.75" customHeight="1">
      <c r="A32" s="9" t="s">
        <v>660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J1"/>
    <mergeCell ref="A16:J16"/>
    <mergeCell ref="A25:J25"/>
    <mergeCell ref="A18:J18"/>
    <mergeCell ref="A27:J27"/>
    <mergeCell ref="H4:J4"/>
    <mergeCell ref="A21:J21"/>
    <mergeCell ref="A26:J26"/>
    <mergeCell ref="A2:J2"/>
    <mergeCell ref="A13:J13"/>
    <mergeCell ref="A19:J19"/>
    <mergeCell ref="A15:J15"/>
    <mergeCell ref="A4:F4"/>
    <mergeCell ref="A24:J24"/>
    <mergeCell ref="A23:J23"/>
    <mergeCell ref="A14:J14"/>
    <mergeCell ref="A22:J22"/>
    <mergeCell ref="A17:J17"/>
    <mergeCell ref="A20:J20"/>
  </mergeCells>
  <conditionalFormatting sqref="J6:J10">
    <cfRule type="containsText" dxfId="52" priority="1" operator="containsText" text="Hoàn thành">
      <formula>NOT(ISERROR(SEARCH(("Hoàn thành"),(J6))))</formula>
    </cfRule>
    <cfRule type="containsText" dxfId="51" priority="2" operator="containsText" text="Đang làm">
      <formula>NOT(ISERROR(SEARCH(("Đang làm"),(J6))))</formula>
    </cfRule>
    <cfRule type="containsText" dxfId="50" priority="3" operator="containsText" text="Rủi ro">
      <formula>NOT(ISERROR(SEARCH(("Rủi ro"),(J6))))</formula>
    </cfRule>
    <cfRule type="containsText" dxfId="49" priority="4" operator="containsText" text="Tạm dừng">
      <formula>NOT(ISERROR(SEARCH(("Tạm dừng"),(J6))))</formula>
    </cfRule>
  </conditionalFormatting>
  <dataValidations count="1">
    <dataValidation type="list" allowBlank="1" sqref="J6:J10" xr:uid="{00000000-0002-0000-0500-000000000000}">
      <formula1>"Chưa bắt đầu,Đang làm,Rủi ro,Tạm dừng,Hoàn thành"</formula1>
    </dataValidation>
  </dataValidation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selection sqref="A1:H1"/>
    </sheetView>
  </sheetViews>
  <sheetFormatPr defaultColWidth="12.625" defaultRowHeight="15" customHeight="1"/>
  <cols>
    <col min="1" max="1" width="22.5" customWidth="1"/>
    <col min="2" max="2" width="16.25" customWidth="1"/>
    <col min="3" max="3" width="12.5" customWidth="1"/>
    <col min="4" max="4" width="16.875" customWidth="1"/>
    <col min="5" max="5" width="14.375" customWidth="1"/>
    <col min="6" max="6" width="16.25" customWidth="1"/>
    <col min="7" max="7" width="15" customWidth="1"/>
    <col min="8" max="8" width="13.75" customWidth="1"/>
    <col min="9" max="26" width="8.625" customWidth="1"/>
  </cols>
  <sheetData>
    <row r="1" spans="1:8" ht="20.25" customHeight="1">
      <c r="A1" s="19" t="s">
        <v>661</v>
      </c>
      <c r="B1" s="20"/>
      <c r="C1" s="20"/>
      <c r="D1" s="20"/>
      <c r="E1" s="20"/>
      <c r="F1" s="20"/>
      <c r="G1" s="20"/>
      <c r="H1" s="21"/>
    </row>
    <row r="2" spans="1:8" ht="14.25" customHeight="1">
      <c r="A2" s="13" t="s">
        <v>662</v>
      </c>
      <c r="B2" s="14"/>
      <c r="C2" s="14"/>
      <c r="D2" s="14"/>
      <c r="E2" s="14"/>
      <c r="F2" s="14"/>
      <c r="G2" s="14"/>
      <c r="H2" s="15"/>
    </row>
    <row r="4" spans="1:8">
      <c r="A4" s="1" t="s">
        <v>663</v>
      </c>
      <c r="B4" s="1" t="s">
        <v>3</v>
      </c>
      <c r="D4" s="2" t="s">
        <v>74</v>
      </c>
      <c r="E4" s="2" t="s">
        <v>664</v>
      </c>
      <c r="F4" s="2" t="s">
        <v>71</v>
      </c>
      <c r="G4" s="2" t="s">
        <v>73</v>
      </c>
      <c r="H4" s="2" t="s">
        <v>665</v>
      </c>
    </row>
    <row r="5" spans="1:8" ht="28.5" customHeight="1">
      <c r="A5" s="3" t="s">
        <v>666</v>
      </c>
      <c r="B5" s="6">
        <v>46190</v>
      </c>
      <c r="D5" s="3" t="s">
        <v>10</v>
      </c>
      <c r="E5" s="3" t="s">
        <v>368</v>
      </c>
      <c r="F5" s="3" t="s">
        <v>87</v>
      </c>
      <c r="G5" s="3" t="s">
        <v>88</v>
      </c>
      <c r="H5" s="3" t="s">
        <v>559</v>
      </c>
    </row>
    <row r="6" spans="1:8" ht="14.25" customHeight="1">
      <c r="A6" s="3" t="s">
        <v>667</v>
      </c>
      <c r="B6" s="6">
        <v>46203</v>
      </c>
      <c r="D6" s="3" t="s">
        <v>8</v>
      </c>
      <c r="E6" s="3" t="s">
        <v>8</v>
      </c>
      <c r="F6" s="3" t="s">
        <v>99</v>
      </c>
      <c r="G6" s="3" t="s">
        <v>119</v>
      </c>
      <c r="H6" s="3" t="s">
        <v>554</v>
      </c>
    </row>
    <row r="7" spans="1:8" ht="14.25" customHeight="1">
      <c r="A7" s="3" t="s">
        <v>668</v>
      </c>
      <c r="B7" s="3" t="s">
        <v>669</v>
      </c>
      <c r="D7" s="3" t="s">
        <v>9</v>
      </c>
      <c r="E7" s="3" t="s">
        <v>89</v>
      </c>
      <c r="F7" s="3" t="s">
        <v>118</v>
      </c>
      <c r="G7" s="3" t="s">
        <v>409</v>
      </c>
      <c r="H7" s="3" t="s">
        <v>548</v>
      </c>
    </row>
    <row r="8" spans="1:8" ht="14.25" customHeight="1">
      <c r="A8" s="3" t="s">
        <v>670</v>
      </c>
      <c r="B8" s="3">
        <v>10</v>
      </c>
      <c r="D8" s="3" t="s">
        <v>671</v>
      </c>
      <c r="E8" s="3" t="s">
        <v>672</v>
      </c>
      <c r="F8" s="3"/>
      <c r="G8" s="3"/>
      <c r="H8" s="3"/>
    </row>
    <row r="9" spans="1:8" ht="14.25" customHeight="1">
      <c r="A9" s="3" t="s">
        <v>452</v>
      </c>
      <c r="B9" s="3">
        <v>82</v>
      </c>
      <c r="D9" s="3" t="s">
        <v>6</v>
      </c>
      <c r="E9" s="3"/>
      <c r="F9" s="3"/>
      <c r="G9" s="3"/>
      <c r="H9" s="3"/>
    </row>
    <row r="10" spans="1:8" ht="42.75" customHeight="1">
      <c r="A10" s="3" t="s">
        <v>673</v>
      </c>
      <c r="B10" s="3" t="s">
        <v>674</v>
      </c>
    </row>
    <row r="13" spans="1:8">
      <c r="A13" s="16" t="s">
        <v>675</v>
      </c>
      <c r="B13" s="17"/>
      <c r="C13" s="17"/>
      <c r="D13" s="17"/>
      <c r="E13" s="17"/>
      <c r="F13" s="17"/>
      <c r="G13" s="17"/>
      <c r="H13" s="18"/>
    </row>
    <row r="14" spans="1:8" ht="25.5" customHeight="1">
      <c r="A14" s="2" t="s">
        <v>494</v>
      </c>
      <c r="B14" s="28" t="s">
        <v>676</v>
      </c>
      <c r="C14" s="17"/>
      <c r="D14" s="17"/>
      <c r="E14" s="17"/>
      <c r="F14" s="17"/>
      <c r="G14" s="17"/>
      <c r="H14" s="18"/>
    </row>
    <row r="15" spans="1:8" ht="25.5" customHeight="1">
      <c r="A15" s="3" t="s">
        <v>677</v>
      </c>
      <c r="B15" s="10" t="s">
        <v>678</v>
      </c>
      <c r="C15" s="11"/>
      <c r="D15" s="11"/>
      <c r="E15" s="11"/>
      <c r="F15" s="11"/>
      <c r="G15" s="11"/>
      <c r="H15" s="12"/>
    </row>
    <row r="16" spans="1:8" ht="25.5" customHeight="1">
      <c r="A16" s="3" t="s">
        <v>502</v>
      </c>
      <c r="B16" s="10" t="s">
        <v>679</v>
      </c>
      <c r="C16" s="11"/>
      <c r="D16" s="11"/>
      <c r="E16" s="11"/>
      <c r="F16" s="11"/>
      <c r="G16" s="11"/>
      <c r="H16" s="12"/>
    </row>
    <row r="17" spans="1:8" ht="25.5" customHeight="1">
      <c r="A17" s="3" t="s">
        <v>680</v>
      </c>
      <c r="B17" s="10" t="s">
        <v>681</v>
      </c>
      <c r="C17" s="11"/>
      <c r="D17" s="11"/>
      <c r="E17" s="11"/>
      <c r="F17" s="11"/>
      <c r="G17" s="11"/>
      <c r="H17" s="12"/>
    </row>
    <row r="18" spans="1:8" ht="25.5" customHeight="1">
      <c r="A18" s="3" t="s">
        <v>194</v>
      </c>
      <c r="B18" s="10" t="s">
        <v>682</v>
      </c>
      <c r="C18" s="11"/>
      <c r="D18" s="11"/>
      <c r="E18" s="11"/>
      <c r="F18" s="11"/>
      <c r="G18" s="11"/>
      <c r="H18" s="12"/>
    </row>
    <row r="19" spans="1:8" ht="25.5" customHeight="1">
      <c r="A19" s="3" t="s">
        <v>683</v>
      </c>
      <c r="B19" s="10" t="s">
        <v>684</v>
      </c>
      <c r="C19" s="11"/>
      <c r="D19" s="11"/>
      <c r="E19" s="11"/>
      <c r="F19" s="11"/>
      <c r="G19" s="11"/>
      <c r="H19" s="12"/>
    </row>
    <row r="20" spans="1:8" ht="25.5" customHeight="1">
      <c r="A20" s="3" t="s">
        <v>523</v>
      </c>
      <c r="B20" s="10" t="s">
        <v>685</v>
      </c>
      <c r="C20" s="11"/>
      <c r="D20" s="11"/>
      <c r="E20" s="11"/>
      <c r="F20" s="11"/>
      <c r="G20" s="11"/>
      <c r="H20" s="12"/>
    </row>
    <row r="21" spans="1:8" ht="25.5" customHeight="1">
      <c r="A21" s="3" t="s">
        <v>686</v>
      </c>
      <c r="B21" s="10" t="s">
        <v>687</v>
      </c>
      <c r="C21" s="11"/>
      <c r="D21" s="11"/>
      <c r="E21" s="11"/>
      <c r="F21" s="11"/>
      <c r="G21" s="11"/>
      <c r="H21" s="12"/>
    </row>
    <row r="22" spans="1:8" ht="25.5" customHeight="1">
      <c r="A22" s="3" t="s">
        <v>529</v>
      </c>
      <c r="B22" s="10" t="s">
        <v>688</v>
      </c>
      <c r="C22" s="11"/>
      <c r="D22" s="11"/>
      <c r="E22" s="11"/>
      <c r="F22" s="11"/>
      <c r="G22" s="11"/>
      <c r="H22" s="12"/>
    </row>
    <row r="23" spans="1:8" ht="25.5" customHeight="1">
      <c r="A23" s="3" t="s">
        <v>689</v>
      </c>
      <c r="B23" s="10" t="s">
        <v>690</v>
      </c>
      <c r="C23" s="11"/>
      <c r="D23" s="11"/>
      <c r="E23" s="11"/>
      <c r="F23" s="11"/>
      <c r="G23" s="11"/>
      <c r="H23" s="12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3:H23"/>
    <mergeCell ref="A2:H2"/>
    <mergeCell ref="A13:H13"/>
    <mergeCell ref="B16:H16"/>
    <mergeCell ref="B15:H15"/>
    <mergeCell ref="A1:H1"/>
    <mergeCell ref="B22:H22"/>
    <mergeCell ref="B14:H14"/>
    <mergeCell ref="B17:H17"/>
    <mergeCell ref="B18:H18"/>
    <mergeCell ref="B21:H21"/>
    <mergeCell ref="B19:H19"/>
    <mergeCell ref="B20:H20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quan</vt:lpstr>
      <vt:lpstr>Kế hoạch Task</vt:lpstr>
      <vt:lpstr>Timeline 2 tuần</vt:lpstr>
      <vt:lpstr>Rủi ro &amp; Quyết định</vt:lpstr>
      <vt:lpstr>RACI</vt:lpstr>
      <vt:lpstr>ResourceBAC</vt:lpstr>
      <vt:lpstr>Thiết lập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 Nguyen</cp:lastModifiedBy>
  <dcterms:created xsi:type="dcterms:W3CDTF">2026-06-22T04:51:47Z</dcterms:created>
  <dcterms:modified xsi:type="dcterms:W3CDTF">2026-06-23T03:44:09Z</dcterms:modified>
</cp:coreProperties>
</file>